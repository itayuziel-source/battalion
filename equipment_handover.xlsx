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סקירה" sheetId="1" state="visible" r:id="rId1"/>
    <sheet name="רשימת ציוד" sheetId="2" state="visible" r:id="rId2"/>
    <sheet name="בתים ומוצבים" sheetId="3" state="visible" r:id="rId3"/>
    <sheet name="סיכום וחתימות" sheetId="4" state="visible" r:id="rId4"/>
    <sheet name="מקרא והוראות" sheetId="5" state="visible" r:id="rId5"/>
  </sheets>
  <definedNames>
    <definedName name="_xlnm.Print_Area" localSheetId="3">'סיכום וחתימות'!$A$1:$F$44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sz val="13"/>
    </font>
    <font>
      <b val="1"/>
    </font>
    <font>
      <b val="1"/>
      <sz val="12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9AA7BD"/>
      </left>
      <right style="thin">
        <color rgb="009AA7BD"/>
      </right>
      <top style="thin">
        <color rgb="009AA7BD"/>
      </top>
      <bottom style="thin">
        <color rgb="009AA7B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0" applyAlignment="1" pivotButton="0" quotePrefix="0" xfId="0">
      <alignment horizontal="right" vertical="center" wrapText="1"/>
    </xf>
    <xf numFmtId="0" fontId="3" fillId="0" borderId="0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dxfs count="4">
    <dxf>
      <font>
        <b val="1"/>
      </font>
      <fill>
        <patternFill patternType="solid">
          <fgColor rgb="00FFC7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3" customWidth="1" min="3" max="3"/>
    <col width="18" customWidth="1" min="4" max="4"/>
    <col width="9" customWidth="1" min="5" max="5"/>
    <col width="9" customWidth="1" min="6" max="6"/>
    <col width="9" customWidth="1" min="7" max="7"/>
    <col width="9" customWidth="1" min="8" max="8"/>
    <col width="3" customWidth="1" min="9" max="9"/>
    <col width="14" customWidth="1" min="10" max="10"/>
    <col width="9" customWidth="1" min="11" max="11"/>
  </cols>
  <sheetData>
    <row r="1" ht="28" customHeight="1">
      <c r="A1" s="1" t="inlineStr">
        <is>
          <t>העברת גזרה – סיכום ציוד ופערים</t>
        </is>
      </c>
    </row>
    <row r="3">
      <c r="A3" s="2" t="inlineStr">
        <is>
          <t>סיכום כללי</t>
        </is>
      </c>
      <c r="D3" s="3" t="inlineStr">
        <is>
          <t>קטגוריה</t>
        </is>
      </c>
      <c r="E3" s="3" t="inlineStr">
        <is>
          <t>פריטים</t>
        </is>
      </c>
      <c r="F3" s="3" t="inlineStr">
        <is>
          <t>כמות</t>
        </is>
      </c>
      <c r="G3" s="3" t="inlineStr">
        <is>
          <t>פריטי צ׳</t>
        </is>
      </c>
      <c r="H3" s="3" t="inlineStr">
        <is>
          <t>פערים</t>
        </is>
      </c>
      <c r="J3" s="3" t="inlineStr">
        <is>
          <t>בית / מוצב</t>
        </is>
      </c>
      <c r="K3" s="3" t="inlineStr">
        <is>
          <t>פריטים</t>
        </is>
      </c>
    </row>
    <row r="4">
      <c r="A4" s="4" t="inlineStr">
        <is>
          <t>סה"כ שורות ציוד</t>
        </is>
      </c>
      <c r="B4" s="5">
        <f>COUNTA('רשימת ציוד'!$D$3:$D$302)</f>
        <v/>
      </c>
      <c r="D4" s="6" t="inlineStr">
        <is>
          <t>אמל"ח</t>
        </is>
      </c>
      <c r="E4" s="7">
        <f>COUNTIF('רשימת ציוד'!$C$3:$C$302,$D4)</f>
        <v/>
      </c>
      <c r="F4" s="7">
        <f>SUMIF('רשימת ציוד'!$C$3:$C$302,$D4,'רשימת ציוד'!$H$3:$H$302)</f>
        <v/>
      </c>
      <c r="G4" s="7">
        <f>COUNTIFS('רשימת ציוד'!$C$3:$C$302,$D4,'רשימת ציוד'!$E$3:$E$302,"כן")</f>
        <v/>
      </c>
      <c r="H4" s="7">
        <f>SUMPRODUCT(('רשימת ציוד'!$C$3:$C$302=$D4)*('רשימת ציוד'!$K$3:$K$302&lt;&gt;"")*('רשימת ציוד'!$K$3:$K$302&lt;&gt;0))</f>
        <v/>
      </c>
      <c r="J4" s="6">
        <f>IF('בתים ומוצבים'!$A$3="","",'בתים ומוצבים'!$A$3)</f>
        <v/>
      </c>
      <c r="K4" s="7">
        <f>IF('בתים ומוצבים'!$A$3="","",COUNTIF('רשימת ציוד'!$B$3:$B$302,'בתים ומוצבים'!$A$3))</f>
        <v/>
      </c>
    </row>
    <row r="5">
      <c r="A5" s="4" t="inlineStr">
        <is>
          <t>סה"כ כמות נמסרת</t>
        </is>
      </c>
      <c r="B5" s="5">
        <f>SUM('רשימת ציוד'!$H$3:$H$302)</f>
        <v/>
      </c>
      <c r="D5" s="6" t="inlineStr">
        <is>
          <t>תחמושת</t>
        </is>
      </c>
      <c r="E5" s="7">
        <f>COUNTIF('רשימת ציוד'!$C$3:$C$302,$D5)</f>
        <v/>
      </c>
      <c r="F5" s="7">
        <f>SUMIF('רשימת ציוד'!$C$3:$C$302,$D5,'רשימת ציוד'!$H$3:$H$302)</f>
        <v/>
      </c>
      <c r="G5" s="7">
        <f>COUNTIFS('רשימת ציוד'!$C$3:$C$302,$D5,'רשימת ציוד'!$E$3:$E$302,"כן")</f>
        <v/>
      </c>
      <c r="H5" s="7">
        <f>SUMPRODUCT(('רשימת ציוד'!$C$3:$C$302=$D5)*('רשימת ציוד'!$K$3:$K$302&lt;&gt;"")*('רשימת ציוד'!$K$3:$K$302&lt;&gt;0))</f>
        <v/>
      </c>
      <c r="J5" s="6">
        <f>IF('בתים ומוצבים'!$A$4="","",'בתים ומוצבים'!$A$4)</f>
        <v/>
      </c>
      <c r="K5" s="7">
        <f>IF('בתים ומוצבים'!$A$4="","",COUNTIF('רשימת ציוד'!$B$3:$B$302,'בתים ומוצבים'!$A$4))</f>
        <v/>
      </c>
    </row>
    <row r="6">
      <c r="A6" s="4" t="inlineStr">
        <is>
          <t>פריטי צ׳</t>
        </is>
      </c>
      <c r="B6" s="8">
        <f>COUNTIF('רשימת ציוד'!$E$3:$E$302,"כן")</f>
        <v/>
      </c>
      <c r="D6" s="6" t="inlineStr">
        <is>
          <t>אופטיקה ותצפית</t>
        </is>
      </c>
      <c r="E6" s="7">
        <f>COUNTIF('רשימת ציוד'!$C$3:$C$302,$D6)</f>
        <v/>
      </c>
      <c r="F6" s="7">
        <f>SUMIF('רשימת ציוד'!$C$3:$C$302,$D6,'רשימת ציוד'!$H$3:$H$302)</f>
        <v/>
      </c>
      <c r="G6" s="7">
        <f>COUNTIFS('רשימת ציוד'!$C$3:$C$302,$D6,'רשימת ציוד'!$E$3:$E$302,"כן")</f>
        <v/>
      </c>
      <c r="H6" s="7">
        <f>SUMPRODUCT(('רשימת ציוד'!$C$3:$C$302=$D6)*('רשימת ציוד'!$K$3:$K$302&lt;&gt;"")*('רשימת ציוד'!$K$3:$K$302&lt;&gt;0))</f>
        <v/>
      </c>
      <c r="J6" s="6">
        <f>IF('בתים ומוצבים'!$A$5="","",'בתים ומוצבים'!$A$5)</f>
        <v/>
      </c>
      <c r="K6" s="7">
        <f>IF('בתים ומוצבים'!$A$5="","",COUNTIF('רשימת ציוד'!$B$3:$B$302,'בתים ומוצבים'!$A$5))</f>
        <v/>
      </c>
    </row>
    <row r="7">
      <c r="A7" s="4" t="inlineStr">
        <is>
          <t>ציוד חטיבתי</t>
        </is>
      </c>
      <c r="B7" s="9">
        <f>COUNTIF('רשימת ציוד'!$G$3:$G$302,"חטיבתי")</f>
        <v/>
      </c>
      <c r="D7" s="6" t="inlineStr">
        <is>
          <t>קשר ומחשוב</t>
        </is>
      </c>
      <c r="E7" s="7">
        <f>COUNTIF('רשימת ציוד'!$C$3:$C$302,$D7)</f>
        <v/>
      </c>
      <c r="F7" s="7">
        <f>SUMIF('רשימת ציוד'!$C$3:$C$302,$D7,'רשימת ציוד'!$H$3:$H$302)</f>
        <v/>
      </c>
      <c r="G7" s="7">
        <f>COUNTIFS('רשימת ציוד'!$C$3:$C$302,$D7,'רשימת ציוד'!$E$3:$E$302,"כן")</f>
        <v/>
      </c>
      <c r="H7" s="7">
        <f>SUMPRODUCT(('רשימת ציוד'!$C$3:$C$302=$D7)*('רשימת ציוד'!$K$3:$K$302&lt;&gt;"")*('רשימת ציוד'!$K$3:$K$302&lt;&gt;0))</f>
        <v/>
      </c>
      <c r="J7" s="6">
        <f>IF('בתים ומוצבים'!$A$6="","",'בתים ומוצבים'!$A$6)</f>
        <v/>
      </c>
      <c r="K7" s="7">
        <f>IF('בתים ומוצבים'!$A$6="","",COUNTIF('רשימת ציוד'!$B$3:$B$302,'בתים ומוצבים'!$A$6))</f>
        <v/>
      </c>
    </row>
    <row r="8">
      <c r="A8" s="4" t="inlineStr">
        <is>
          <t>ציוד גדודי</t>
        </is>
      </c>
      <c r="B8" s="9">
        <f>COUNTIF('רשימת ציוד'!$G$3:$G$302,"גדודי")</f>
        <v/>
      </c>
      <c r="D8" s="6" t="inlineStr">
        <is>
          <t>רחפנים</t>
        </is>
      </c>
      <c r="E8" s="7">
        <f>COUNTIF('רשימת ציוד'!$C$3:$C$302,$D8)</f>
        <v/>
      </c>
      <c r="F8" s="7">
        <f>SUMIF('רשימת ציוד'!$C$3:$C$302,$D8,'רשימת ציוד'!$H$3:$H$302)</f>
        <v/>
      </c>
      <c r="G8" s="7">
        <f>COUNTIFS('רשימת ציוד'!$C$3:$C$302,$D8,'רשימת ציוד'!$E$3:$E$302,"כן")</f>
        <v/>
      </c>
      <c r="H8" s="7">
        <f>SUMPRODUCT(('רשימת ציוד'!$C$3:$C$302=$D8)*('רשימת ציוד'!$K$3:$K$302&lt;&gt;"")*('רשימת ציוד'!$K$3:$K$302&lt;&gt;0))</f>
        <v/>
      </c>
      <c r="J8" s="6">
        <f>IF('בתים ומוצבים'!$A$7="","",'בתים ומוצבים'!$A$7)</f>
        <v/>
      </c>
      <c r="K8" s="7">
        <f>IF('בתים ומוצבים'!$A$7="","",COUNTIF('רשימת ציוד'!$B$3:$B$302,'בתים ומוצבים'!$A$7))</f>
        <v/>
      </c>
    </row>
    <row r="9">
      <c r="D9" s="6" t="inlineStr">
        <is>
          <t>מיגון</t>
        </is>
      </c>
      <c r="E9" s="7">
        <f>COUNTIF('רשימת ציוד'!$C$3:$C$302,$D9)</f>
        <v/>
      </c>
      <c r="F9" s="7">
        <f>SUMIF('רשימת ציוד'!$C$3:$C$302,$D9,'רשימת ציוד'!$H$3:$H$302)</f>
        <v/>
      </c>
      <c r="G9" s="7">
        <f>COUNTIFS('רשימת ציוד'!$C$3:$C$302,$D9,'רשימת ציוד'!$E$3:$E$302,"כן")</f>
        <v/>
      </c>
      <c r="H9" s="7">
        <f>SUMPRODUCT(('רשימת ציוד'!$C$3:$C$302=$D9)*('רשימת ציוד'!$K$3:$K$302&lt;&gt;"")*('רשימת ציוד'!$K$3:$K$302&lt;&gt;0))</f>
        <v/>
      </c>
      <c r="J9" s="6">
        <f>IF('בתים ומוצבים'!$A$8="","",'בתים ומוצבים'!$A$8)</f>
        <v/>
      </c>
      <c r="K9" s="7">
        <f>IF('בתים ומוצבים'!$A$8="","",COUNTIF('רשימת ציוד'!$B$3:$B$302,'בתים ומוצבים'!$A$8))</f>
        <v/>
      </c>
    </row>
    <row r="10">
      <c r="A10" s="2" t="inlineStr">
        <is>
          <t>התראות</t>
        </is>
      </c>
      <c r="D10" s="6" t="inlineStr">
        <is>
          <t>ציוד רפואי</t>
        </is>
      </c>
      <c r="E10" s="7">
        <f>COUNTIF('רשימת ציוד'!$C$3:$C$302,$D10)</f>
        <v/>
      </c>
      <c r="F10" s="7">
        <f>SUMIF('רשימת ציוד'!$C$3:$C$302,$D10,'רשימת ציוד'!$H$3:$H$302)</f>
        <v/>
      </c>
      <c r="G10" s="7">
        <f>COUNTIFS('רשימת ציוד'!$C$3:$C$302,$D10,'רשימת ציוד'!$E$3:$E$302,"כן")</f>
        <v/>
      </c>
      <c r="H10" s="7">
        <f>SUMPRODUCT(('רשימת ציוד'!$C$3:$C$302=$D10)*('רשימת ציוד'!$K$3:$K$302&lt;&gt;"")*('רשימת ציוד'!$K$3:$K$302&lt;&gt;0))</f>
        <v/>
      </c>
      <c r="J10" s="6">
        <f>IF('בתים ומוצבים'!$A$9="","",'בתים ומוצבים'!$A$9)</f>
        <v/>
      </c>
      <c r="K10" s="7">
        <f>IF('בתים ומוצבים'!$A$9="","",COUNTIF('רשימת ציוד'!$B$3:$B$302,'בתים ומוצבים'!$A$9))</f>
        <v/>
      </c>
    </row>
    <row r="11">
      <c r="A11" s="4" t="inlineStr">
        <is>
          <t>פריטים תקולים</t>
        </is>
      </c>
      <c r="B11" s="9">
        <f>COUNTIF('רשימת ציוד'!$I$3:$I$302,"תקול")+COUNTIF('רשימת ציוד'!$I$3:$I$302,"חסר")</f>
        <v/>
      </c>
      <c r="D11" s="6" t="inlineStr">
        <is>
          <t>לוגיסטיקה ומגורים</t>
        </is>
      </c>
      <c r="E11" s="7">
        <f>COUNTIF('רשימת ציוד'!$C$3:$C$302,$D11)</f>
        <v/>
      </c>
      <c r="F11" s="7">
        <f>SUMIF('רשימת ציוד'!$C$3:$C$302,$D11,'רשימת ציוד'!$H$3:$H$302)</f>
        <v/>
      </c>
      <c r="G11" s="7">
        <f>COUNTIFS('רשימת ציוד'!$C$3:$C$302,$D11,'רשימת ציוד'!$E$3:$E$302,"כן")</f>
        <v/>
      </c>
      <c r="H11" s="7">
        <f>SUMPRODUCT(('רשימת ציוד'!$C$3:$C$302=$D11)*('רשימת ציוד'!$K$3:$K$302&lt;&gt;"")*('רשימת ציוד'!$K$3:$K$302&lt;&gt;0))</f>
        <v/>
      </c>
      <c r="J11" s="6">
        <f>IF('בתים ומוצבים'!$A$10="","",'בתים ומוצבים'!$A$10)</f>
        <v/>
      </c>
      <c r="K11" s="7">
        <f>IF('בתים ומוצבים'!$A$10="","",COUNTIF('רשימת ציוד'!$B$3:$B$302,'בתים ומוצבים'!$A$10))</f>
        <v/>
      </c>
    </row>
    <row r="12">
      <c r="A12" s="4" t="inlineStr">
        <is>
          <t>שורות עם פער</t>
        </is>
      </c>
      <c r="B12" s="9">
        <f>SUMPRODUCT(('רשימת ציוד'!$K$3:$K$302&lt;&gt;"")*('רשימת ציוד'!$K$3:$K$302&lt;&gt;0))</f>
        <v/>
      </c>
      <c r="D12" s="6" t="inlineStr">
        <is>
          <t>מטבח ומזון</t>
        </is>
      </c>
      <c r="E12" s="7">
        <f>COUNTIF('רשימת ציוד'!$C$3:$C$302,$D12)</f>
        <v/>
      </c>
      <c r="F12" s="7">
        <f>SUMIF('רשימת ציוד'!$C$3:$C$302,$D12,'רשימת ציוד'!$H$3:$H$302)</f>
        <v/>
      </c>
      <c r="G12" s="7">
        <f>COUNTIFS('רשימת ציוד'!$C$3:$C$302,$D12,'רשימת ציוד'!$E$3:$E$302,"כן")</f>
        <v/>
      </c>
      <c r="H12" s="7">
        <f>SUMPRODUCT(('רשימת ציוד'!$C$3:$C$302=$D12)*('רשימת ציוד'!$K$3:$K$302&lt;&gt;"")*('רשימת ציוד'!$K$3:$K$302&lt;&gt;0))</f>
        <v/>
      </c>
      <c r="J12" s="6">
        <f>IF('בתים ומוצבים'!$A$11="","",'בתים ומוצבים'!$A$11)</f>
        <v/>
      </c>
      <c r="K12" s="7">
        <f>IF('בתים ומוצבים'!$A$11="","",COUNTIF('רשימת ציוד'!$B$3:$B$302,'בתים ומוצבים'!$A$11))</f>
        <v/>
      </c>
    </row>
    <row r="13">
      <c r="A13" s="4" t="inlineStr">
        <is>
          <t>פריטי צ׳ ללא מספר</t>
        </is>
      </c>
      <c r="B13" s="9">
        <f>SUMPRODUCT(('רשימת ציוד'!$E$3:$E$302="כן")*('רשימת ציוד'!$F$3:$F$302=""))</f>
        <v/>
      </c>
      <c r="D13" s="6" t="inlineStr">
        <is>
          <t>גנרטורים וחשמל</t>
        </is>
      </c>
      <c r="E13" s="7">
        <f>COUNTIF('רשימת ציוד'!$C$3:$C$302,$D13)</f>
        <v/>
      </c>
      <c r="F13" s="7">
        <f>SUMIF('רשימת ציוד'!$C$3:$C$302,$D13,'רשימת ציוד'!$H$3:$H$302)</f>
        <v/>
      </c>
      <c r="G13" s="7">
        <f>COUNTIFS('רשימת ציוד'!$C$3:$C$302,$D13,'רשימת ציוד'!$E$3:$E$302,"כן")</f>
        <v/>
      </c>
      <c r="H13" s="7">
        <f>SUMPRODUCT(('רשימת ציוד'!$C$3:$C$302=$D13)*('רשימת ציוד'!$K$3:$K$302&lt;&gt;"")*('רשימת ציוד'!$K$3:$K$302&lt;&gt;0))</f>
        <v/>
      </c>
      <c r="J13" s="6">
        <f>IF('בתים ומוצבים'!$A$12="","",'בתים ומוצבים'!$A$12)</f>
        <v/>
      </c>
      <c r="K13" s="7">
        <f>IF('בתים ומוצבים'!$A$12="","",COUNTIF('רשימת ציוד'!$B$3:$B$302,'בתים ומוצבים'!$A$12))</f>
        <v/>
      </c>
    </row>
    <row r="14">
      <c r="A14" s="4" t="inlineStr">
        <is>
          <t>טרם נבדקו ע"י הקולט</t>
        </is>
      </c>
      <c r="B14" s="9">
        <f>SUMPRODUCT(('רשימת ציוד'!$D$3:$D$302&lt;&gt;"")*('רשימת ציוד'!$J$3:$J$302=""))</f>
        <v/>
      </c>
      <c r="D14" s="6" t="inlineStr">
        <is>
          <t>תשתיות ומבנה</t>
        </is>
      </c>
      <c r="E14" s="7">
        <f>COUNTIF('רשימת ציוד'!$C$3:$C$302,$D14)</f>
        <v/>
      </c>
      <c r="F14" s="7">
        <f>SUMIF('רשימת ציוד'!$C$3:$C$302,$D14,'רשימת ציוד'!$H$3:$H$302)</f>
        <v/>
      </c>
      <c r="G14" s="7">
        <f>COUNTIFS('רשימת ציוד'!$C$3:$C$302,$D14,'רשימת ציוד'!$E$3:$E$302,"כן")</f>
        <v/>
      </c>
      <c r="H14" s="7">
        <f>SUMPRODUCT(('רשימת ציוד'!$C$3:$C$302=$D14)*('רשימת ציוד'!$K$3:$K$302&lt;&gt;"")*('רשימת ציוד'!$K$3:$K$302&lt;&gt;0))</f>
        <v/>
      </c>
      <c r="J14" s="6">
        <f>IF('בתים ומוצבים'!$A$13="","",'בתים ומוצבים'!$A$13)</f>
        <v/>
      </c>
      <c r="K14" s="7">
        <f>IF('בתים ומוצבים'!$A$13="","",COUNTIF('רשימת ציוד'!$B$3:$B$302,'בתים ומוצבים'!$A$13))</f>
        <v/>
      </c>
    </row>
    <row r="15">
      <c r="D15" s="6" t="inlineStr">
        <is>
          <t>כיבוי אש ובטיחות</t>
        </is>
      </c>
      <c r="E15" s="7">
        <f>COUNTIF('רשימת ציוד'!$C$3:$C$302,$D15)</f>
        <v/>
      </c>
      <c r="F15" s="7">
        <f>SUMIF('רשימת ציוד'!$C$3:$C$302,$D15,'רשימת ציוד'!$H$3:$H$302)</f>
        <v/>
      </c>
      <c r="G15" s="7">
        <f>COUNTIFS('רשימת ציוד'!$C$3:$C$302,$D15,'רשימת ציוד'!$E$3:$E$302,"כן")</f>
        <v/>
      </c>
      <c r="H15" s="7">
        <f>SUMPRODUCT(('רשימת ציוד'!$C$3:$C$302=$D15)*('רשימת ציוד'!$K$3:$K$302&lt;&gt;"")*('רשימת ציוד'!$K$3:$K$302&lt;&gt;0))</f>
        <v/>
      </c>
      <c r="J15" s="6">
        <f>IF('בתים ומוצבים'!$A$14="","",'בתים ומוצבים'!$A$14)</f>
        <v/>
      </c>
      <c r="K15" s="7">
        <f>IF('בתים ומוצבים'!$A$14="","",COUNTIF('רשימת ציוד'!$B$3:$B$302,'בתים ומוצבים'!$A$14))</f>
        <v/>
      </c>
    </row>
    <row r="16">
      <c r="D16" s="6" t="inlineStr">
        <is>
          <t>אחר</t>
        </is>
      </c>
      <c r="E16" s="7">
        <f>COUNTIF('רשימת ציוד'!$C$3:$C$302,$D16)</f>
        <v/>
      </c>
      <c r="F16" s="7">
        <f>SUMIF('רשימת ציוד'!$C$3:$C$302,$D16,'רשימת ציוד'!$H$3:$H$302)</f>
        <v/>
      </c>
      <c r="G16" s="7">
        <f>COUNTIFS('רשימת ציוד'!$C$3:$C$302,$D16,'רשימת ציוד'!$E$3:$E$302,"כן")</f>
        <v/>
      </c>
      <c r="H16" s="7">
        <f>SUMPRODUCT(('רשימת ציוד'!$C$3:$C$302=$D16)*('רשימת ציוד'!$K$3:$K$302&lt;&gt;"")*('רשימת ציוד'!$K$3:$K$302&lt;&gt;0))</f>
        <v/>
      </c>
      <c r="J16" s="6">
        <f>IF('בתים ומוצבים'!$A$15="","",'בתים ומוצבים'!$A$15)</f>
        <v/>
      </c>
      <c r="K16" s="7">
        <f>IF('בתים ומוצבים'!$A$15="","",COUNTIF('רשימת ציוד'!$B$3:$B$302,'בתים ומוצבים'!$A$15))</f>
        <v/>
      </c>
    </row>
    <row r="17">
      <c r="D17" s="10" t="inlineStr">
        <is>
          <t>סה"כ</t>
        </is>
      </c>
      <c r="E17" s="10">
        <f>SUM(E4:E16)</f>
        <v/>
      </c>
      <c r="F17" s="10">
        <f>SUM(F4:F16)</f>
        <v/>
      </c>
      <c r="G17" s="10">
        <f>SUM(G4:G16)</f>
        <v/>
      </c>
      <c r="H17" s="10">
        <f>SUM(H4:H16)</f>
        <v/>
      </c>
      <c r="J17" s="6">
        <f>IF('בתים ומוצבים'!$A$16="","",'בתים ומוצבים'!$A$16)</f>
        <v/>
      </c>
      <c r="K17" s="7">
        <f>IF('בתים ומוצבים'!$A$16="","",COUNTIF('רשימת ציוד'!$B$3:$B$302,'בתים ומוצבים'!$A$16))</f>
        <v/>
      </c>
    </row>
    <row r="18">
      <c r="J18" s="6">
        <f>IF('בתים ומוצבים'!$A$17="","",'בתים ומוצבים'!$A$17)</f>
        <v/>
      </c>
      <c r="K18" s="7">
        <f>IF('בתים ומוצבים'!$A$17="","",COUNTIF('רשימת ציוד'!$B$3:$B$302,'בתים ומוצבים'!$A$17))</f>
        <v/>
      </c>
    </row>
  </sheetData>
  <mergeCells count="1">
    <mergeCell ref="A1:K1"/>
  </mergeCells>
  <conditionalFormatting sqref="B11">
    <cfRule type="cellIs" priority="1" operator="greaterThan" dxfId="0">
      <formula>0</formula>
    </cfRule>
  </conditionalFormatting>
  <conditionalFormatting sqref="B12">
    <cfRule type="cellIs" priority="2" operator="greaterThan" dxfId="0">
      <formula>0</formula>
    </cfRule>
  </conditionalFormatting>
  <conditionalFormatting sqref="B13">
    <cfRule type="cellIs" priority="3" operator="greaterThan" dxfId="0">
      <formula>0</formula>
    </cfRule>
  </conditionalFormatting>
  <conditionalFormatting sqref="B14">
    <cfRule type="cellIs" priority="4" operator="greaterThan" dxfId="0">
      <formula>0</formula>
    </cfRule>
  </conditionalFormatting>
  <conditionalFormatting sqref="H4">
    <cfRule type="cellIs" priority="5" operator="greaterThan" dxfId="0">
      <formula>0</formula>
    </cfRule>
  </conditionalFormatting>
  <conditionalFormatting sqref="H5">
    <cfRule type="cellIs" priority="6" operator="greaterThan" dxfId="0">
      <formula>0</formula>
    </cfRule>
  </conditionalFormatting>
  <conditionalFormatting sqref="H6">
    <cfRule type="cellIs" priority="7" operator="greaterThan" dxfId="0">
      <formula>0</formula>
    </cfRule>
  </conditionalFormatting>
  <conditionalFormatting sqref="H7">
    <cfRule type="cellIs" priority="8" operator="greaterThan" dxfId="0">
      <formula>0</formula>
    </cfRule>
  </conditionalFormatting>
  <conditionalFormatting sqref="H8">
    <cfRule type="cellIs" priority="9" operator="greaterThan" dxfId="0">
      <formula>0</formula>
    </cfRule>
  </conditionalFormatting>
  <conditionalFormatting sqref="H9">
    <cfRule type="cellIs" priority="10" operator="greaterThan" dxfId="0">
      <formula>0</formula>
    </cfRule>
  </conditionalFormatting>
  <conditionalFormatting sqref="H10">
    <cfRule type="cellIs" priority="11" operator="greaterThan" dxfId="0">
      <formula>0</formula>
    </cfRule>
  </conditionalFormatting>
  <conditionalFormatting sqref="H11">
    <cfRule type="cellIs" priority="12" operator="greaterThan" dxfId="0">
      <formula>0</formula>
    </cfRule>
  </conditionalFormatting>
  <conditionalFormatting sqref="H12">
    <cfRule type="cellIs" priority="13" operator="greaterThan" dxfId="0">
      <formula>0</formula>
    </cfRule>
  </conditionalFormatting>
  <conditionalFormatting sqref="H13">
    <cfRule type="cellIs" priority="14" operator="greaterThan" dxfId="0">
      <formula>0</formula>
    </cfRule>
  </conditionalFormatting>
  <conditionalFormatting sqref="H14">
    <cfRule type="cellIs" priority="15" operator="greaterThan" dxfId="0">
      <formula>0</formula>
    </cfRule>
  </conditionalFormatting>
  <conditionalFormatting sqref="H15">
    <cfRule type="cellIs" priority="16" operator="greaterThan" dxfId="0">
      <formula>0</formula>
    </cfRule>
  </conditionalFormatting>
  <conditionalFormatting sqref="H16">
    <cfRule type="cellIs" priority="17" operator="greaterThan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6" customWidth="1" min="3" max="3"/>
    <col width="30" customWidth="1" min="4" max="4"/>
    <col width="9" customWidth="1" min="5" max="5"/>
    <col width="12" customWidth="1" min="6" max="6"/>
    <col width="11" customWidth="1" min="7" max="7"/>
    <col width="10" customWidth="1" min="8" max="8"/>
    <col width="11" customWidth="1" min="9" max="9"/>
    <col width="12" customWidth="1" min="10" max="10"/>
    <col width="7" customWidth="1" min="11" max="11"/>
    <col width="26" customWidth="1" min="12" max="12"/>
  </cols>
  <sheetData>
    <row r="1" ht="28" customHeight="1">
      <c r="A1" s="1" t="inlineStr">
        <is>
          <t>רשימת ציוד להעברה – ממולא ע"י הגדוד המוסר</t>
        </is>
      </c>
    </row>
    <row r="2">
      <c r="A2" s="3" t="inlineStr">
        <is>
          <t>מס׳</t>
        </is>
      </c>
      <c r="B2" s="3" t="inlineStr">
        <is>
          <t>בית / מוצב</t>
        </is>
      </c>
      <c r="C2" s="3" t="inlineStr">
        <is>
          <t>קטגוריה</t>
        </is>
      </c>
      <c r="D2" s="3" t="inlineStr">
        <is>
          <t>שם הפריט</t>
        </is>
      </c>
      <c r="E2" s="3" t="inlineStr">
        <is>
          <t>פריט צ׳?</t>
        </is>
      </c>
      <c r="F2" s="3" t="inlineStr">
        <is>
          <t>מספר צ׳</t>
        </is>
      </c>
      <c r="G2" s="3" t="inlineStr">
        <is>
          <t>מקור הציוד</t>
        </is>
      </c>
      <c r="H2" s="3" t="inlineStr">
        <is>
          <t>כמות נמסרת</t>
        </is>
      </c>
      <c r="I2" s="3" t="inlineStr">
        <is>
          <t>מצב</t>
        </is>
      </c>
      <c r="J2" s="3" t="inlineStr">
        <is>
          <t>כמות שנבדקה (קולט)</t>
        </is>
      </c>
      <c r="K2" s="3" t="inlineStr">
        <is>
          <t>פער</t>
        </is>
      </c>
      <c r="L2" s="3" t="inlineStr">
        <is>
          <t>הערות</t>
        </is>
      </c>
    </row>
    <row r="3">
      <c r="A3" s="7">
        <f>IF($D3="","",ROW()-2)</f>
        <v/>
      </c>
      <c r="B3" s="7" t="inlineStr">
        <is>
          <t>בית 1</t>
        </is>
      </c>
      <c r="C3" s="7" t="inlineStr">
        <is>
          <t>אופטיקה ותצפית</t>
        </is>
      </c>
      <c r="D3" s="6" t="inlineStr">
        <is>
          <t>משקפת יום</t>
        </is>
      </c>
      <c r="E3" s="7" t="inlineStr">
        <is>
          <t>כן</t>
        </is>
      </c>
      <c r="F3" s="7" t="inlineStr">
        <is>
          <t>100200</t>
        </is>
      </c>
      <c r="G3" s="7" t="inlineStr">
        <is>
          <t>חטיבתי</t>
        </is>
      </c>
      <c r="H3" s="7" t="n">
        <v>2</v>
      </c>
      <c r="I3" s="7" t="inlineStr">
        <is>
          <t>תקין</t>
        </is>
      </c>
      <c r="J3" s="7" t="n"/>
      <c r="K3" s="7">
        <f>IF(OR($H3="",$J3=""),"",$H3-$J3)</f>
        <v/>
      </c>
      <c r="L3" s="6" t="inlineStr">
        <is>
          <t>דוגמה – מחק שורה זו</t>
        </is>
      </c>
    </row>
    <row r="4">
      <c r="A4" s="7">
        <f>IF($D4="","",ROW()-2)</f>
        <v/>
      </c>
      <c r="B4" s="7" t="inlineStr">
        <is>
          <t>בית 1</t>
        </is>
      </c>
      <c r="C4" s="7" t="inlineStr">
        <is>
          <t>קשר ומחשוב</t>
        </is>
      </c>
      <c r="D4" s="6" t="inlineStr">
        <is>
          <t>מכשיר קשר</t>
        </is>
      </c>
      <c r="E4" s="7" t="inlineStr">
        <is>
          <t>כן</t>
        </is>
      </c>
      <c r="F4" s="7" t="inlineStr">
        <is>
          <t>445566</t>
        </is>
      </c>
      <c r="G4" s="7" t="inlineStr">
        <is>
          <t>חטיבתי</t>
        </is>
      </c>
      <c r="H4" s="7" t="n">
        <v>4</v>
      </c>
      <c r="I4" s="7" t="inlineStr">
        <is>
          <t>תקין</t>
        </is>
      </c>
      <c r="J4" s="7" t="n"/>
      <c r="K4" s="7">
        <f>IF(OR($H4="",$J4=""),"",$H4-$J4)</f>
        <v/>
      </c>
      <c r="L4" s="6" t="inlineStr">
        <is>
          <t>דוגמה – מחק שורה זו</t>
        </is>
      </c>
    </row>
    <row r="5">
      <c r="A5" s="7">
        <f>IF($D5="","",ROW()-2)</f>
        <v/>
      </c>
      <c r="B5" s="7" t="inlineStr">
        <is>
          <t>בית 1</t>
        </is>
      </c>
      <c r="C5" s="7" t="inlineStr">
        <is>
          <t>לוגיסטיקה ומגורים</t>
        </is>
      </c>
      <c r="D5" s="6" t="inlineStr">
        <is>
          <t>מיטת שדה + מזרן</t>
        </is>
      </c>
      <c r="E5" s="7" t="inlineStr">
        <is>
          <t>לא</t>
        </is>
      </c>
      <c r="F5" s="7" t="inlineStr"/>
      <c r="G5" s="7" t="inlineStr">
        <is>
          <t>גדודי</t>
        </is>
      </c>
      <c r="H5" s="7" t="n">
        <v>12</v>
      </c>
      <c r="I5" s="7" t="inlineStr">
        <is>
          <t>תקין</t>
        </is>
      </c>
      <c r="J5" s="7" t="n"/>
      <c r="K5" s="7">
        <f>IF(OR($H5="",$J5=""),"",$H5-$J5)</f>
        <v/>
      </c>
      <c r="L5" s="6" t="inlineStr">
        <is>
          <t>דוגמה – מחק שורה זו</t>
        </is>
      </c>
    </row>
    <row r="6">
      <c r="A6" s="7">
        <f>IF($D6="","",ROW()-2)</f>
        <v/>
      </c>
      <c r="B6" s="7" t="inlineStr">
        <is>
          <t>בית 2</t>
        </is>
      </c>
      <c r="C6" s="7" t="inlineStr">
        <is>
          <t>גנרטורים וחשמל</t>
        </is>
      </c>
      <c r="D6" s="6" t="inlineStr">
        <is>
          <t>גנרטור 5 קו"ט</t>
        </is>
      </c>
      <c r="E6" s="7" t="inlineStr">
        <is>
          <t>כן</t>
        </is>
      </c>
      <c r="F6" s="7" t="inlineStr">
        <is>
          <t>778899</t>
        </is>
      </c>
      <c r="G6" s="7" t="inlineStr">
        <is>
          <t>חטיבתי</t>
        </is>
      </c>
      <c r="H6" s="7" t="n">
        <v>1</v>
      </c>
      <c r="I6" s="7" t="inlineStr">
        <is>
          <t>תקול</t>
        </is>
      </c>
      <c r="J6" s="7" t="n"/>
      <c r="K6" s="7">
        <f>IF(OR($H6="",$J6=""),"",$H6-$J6)</f>
        <v/>
      </c>
      <c r="L6" s="6" t="inlineStr">
        <is>
          <t>דוגמה – מחק שורה זו</t>
        </is>
      </c>
    </row>
    <row r="7">
      <c r="A7" s="7">
        <f>IF($D7="","",ROW()-2)</f>
        <v/>
      </c>
      <c r="B7" s="7" t="inlineStr">
        <is>
          <t>בית 2</t>
        </is>
      </c>
      <c r="C7" s="7" t="inlineStr">
        <is>
          <t>מטבח ומזון</t>
        </is>
      </c>
      <c r="D7" s="6" t="inlineStr">
        <is>
          <t>מקרר</t>
        </is>
      </c>
      <c r="E7" s="7" t="inlineStr">
        <is>
          <t>לא</t>
        </is>
      </c>
      <c r="F7" s="7" t="inlineStr"/>
      <c r="G7" s="7" t="inlineStr">
        <is>
          <t>חטיבתי</t>
        </is>
      </c>
      <c r="H7" s="7" t="n">
        <v>2</v>
      </c>
      <c r="I7" s="7" t="inlineStr">
        <is>
          <t>תקין</t>
        </is>
      </c>
      <c r="J7" s="7" t="n"/>
      <c r="K7" s="7">
        <f>IF(OR($H7="",$J7=""),"",$H7-$J7)</f>
        <v/>
      </c>
      <c r="L7" s="6" t="inlineStr">
        <is>
          <t>דוגמה – מחק שורה זו</t>
        </is>
      </c>
    </row>
    <row r="8">
      <c r="A8" s="7">
        <f>IF($D8="","",ROW()-2)</f>
        <v/>
      </c>
      <c r="B8" s="7" t="inlineStr">
        <is>
          <t>בית 2</t>
        </is>
      </c>
      <c r="C8" s="7" t="inlineStr">
        <is>
          <t>מיגון</t>
        </is>
      </c>
      <c r="D8" s="6" t="inlineStr">
        <is>
          <t>שכפ"צ</t>
        </is>
      </c>
      <c r="E8" s="7" t="inlineStr">
        <is>
          <t>לא</t>
        </is>
      </c>
      <c r="F8" s="7" t="inlineStr"/>
      <c r="G8" s="7" t="inlineStr">
        <is>
          <t>גדודי</t>
        </is>
      </c>
      <c r="H8" s="7" t="n">
        <v>10</v>
      </c>
      <c r="I8" s="7" t="inlineStr">
        <is>
          <t>תקין</t>
        </is>
      </c>
      <c r="J8" s="7" t="n"/>
      <c r="K8" s="7">
        <f>IF(OR($H8="",$J8=""),"",$H8-$J8)</f>
        <v/>
      </c>
      <c r="L8" s="6" t="inlineStr">
        <is>
          <t>דוגמה – מחק שורה זו</t>
        </is>
      </c>
    </row>
    <row r="9">
      <c r="A9" s="7">
        <f>IF($D9="","",ROW()-2)</f>
        <v/>
      </c>
      <c r="B9" s="7" t="n"/>
      <c r="C9" s="7" t="n"/>
      <c r="D9" s="6" t="n"/>
      <c r="E9" s="7" t="n"/>
      <c r="F9" s="7" t="n"/>
      <c r="G9" s="7" t="n"/>
      <c r="H9" s="7" t="n"/>
      <c r="I9" s="7" t="n"/>
      <c r="J9" s="7" t="n"/>
      <c r="K9" s="7">
        <f>IF(OR($H9="",$J9=""),"",$H9-$J9)</f>
        <v/>
      </c>
      <c r="L9" s="6" t="n"/>
    </row>
    <row r="10">
      <c r="A10" s="7">
        <f>IF($D10="","",ROW()-2)</f>
        <v/>
      </c>
      <c r="B10" s="7" t="n"/>
      <c r="C10" s="7" t="n"/>
      <c r="D10" s="6" t="n"/>
      <c r="E10" s="7" t="n"/>
      <c r="F10" s="7" t="n"/>
      <c r="G10" s="7" t="n"/>
      <c r="H10" s="7" t="n"/>
      <c r="I10" s="7" t="n"/>
      <c r="J10" s="7" t="n"/>
      <c r="K10" s="7">
        <f>IF(OR($H10="",$J10=""),"",$H10-$J10)</f>
        <v/>
      </c>
      <c r="L10" s="6" t="n"/>
    </row>
    <row r="11">
      <c r="A11" s="7">
        <f>IF($D11="","",ROW()-2)</f>
        <v/>
      </c>
      <c r="B11" s="7" t="n"/>
      <c r="C11" s="7" t="n"/>
      <c r="D11" s="6" t="n"/>
      <c r="E11" s="7" t="n"/>
      <c r="F11" s="7" t="n"/>
      <c r="G11" s="7" t="n"/>
      <c r="H11" s="7" t="n"/>
      <c r="I11" s="7" t="n"/>
      <c r="J11" s="7" t="n"/>
      <c r="K11" s="7">
        <f>IF(OR($H11="",$J11=""),"",$H11-$J11)</f>
        <v/>
      </c>
      <c r="L11" s="6" t="n"/>
    </row>
    <row r="12">
      <c r="A12" s="7">
        <f>IF($D12="","",ROW()-2)</f>
        <v/>
      </c>
      <c r="B12" s="7" t="n"/>
      <c r="C12" s="7" t="n"/>
      <c r="D12" s="6" t="n"/>
      <c r="E12" s="7" t="n"/>
      <c r="F12" s="7" t="n"/>
      <c r="G12" s="7" t="n"/>
      <c r="H12" s="7" t="n"/>
      <c r="I12" s="7" t="n"/>
      <c r="J12" s="7" t="n"/>
      <c r="K12" s="7">
        <f>IF(OR($H12="",$J12=""),"",$H12-$J12)</f>
        <v/>
      </c>
      <c r="L12" s="6" t="n"/>
    </row>
    <row r="13">
      <c r="A13" s="7">
        <f>IF($D13="","",ROW()-2)</f>
        <v/>
      </c>
      <c r="B13" s="7" t="n"/>
      <c r="C13" s="7" t="n"/>
      <c r="D13" s="6" t="n"/>
      <c r="E13" s="7" t="n"/>
      <c r="F13" s="7" t="n"/>
      <c r="G13" s="7" t="n"/>
      <c r="H13" s="7" t="n"/>
      <c r="I13" s="7" t="n"/>
      <c r="J13" s="7" t="n"/>
      <c r="K13" s="7">
        <f>IF(OR($H13="",$J13=""),"",$H13-$J13)</f>
        <v/>
      </c>
      <c r="L13" s="6" t="n"/>
    </row>
    <row r="14">
      <c r="A14" s="7">
        <f>IF($D14="","",ROW()-2)</f>
        <v/>
      </c>
      <c r="B14" s="7" t="n"/>
      <c r="C14" s="7" t="n"/>
      <c r="D14" s="6" t="n"/>
      <c r="E14" s="7" t="n"/>
      <c r="F14" s="7" t="n"/>
      <c r="G14" s="7" t="n"/>
      <c r="H14" s="7" t="n"/>
      <c r="I14" s="7" t="n"/>
      <c r="J14" s="7" t="n"/>
      <c r="K14" s="7">
        <f>IF(OR($H14="",$J14=""),"",$H14-$J14)</f>
        <v/>
      </c>
      <c r="L14" s="6" t="n"/>
    </row>
    <row r="15">
      <c r="A15" s="7">
        <f>IF($D15="","",ROW()-2)</f>
        <v/>
      </c>
      <c r="B15" s="7" t="n"/>
      <c r="C15" s="7" t="n"/>
      <c r="D15" s="6" t="n"/>
      <c r="E15" s="7" t="n"/>
      <c r="F15" s="7" t="n"/>
      <c r="G15" s="7" t="n"/>
      <c r="H15" s="7" t="n"/>
      <c r="I15" s="7" t="n"/>
      <c r="J15" s="7" t="n"/>
      <c r="K15" s="7">
        <f>IF(OR($H15="",$J15=""),"",$H15-$J15)</f>
        <v/>
      </c>
      <c r="L15" s="6" t="n"/>
    </row>
    <row r="16">
      <c r="A16" s="7">
        <f>IF($D16="","",ROW()-2)</f>
        <v/>
      </c>
      <c r="B16" s="7" t="n"/>
      <c r="C16" s="7" t="n"/>
      <c r="D16" s="6" t="n"/>
      <c r="E16" s="7" t="n"/>
      <c r="F16" s="7" t="n"/>
      <c r="G16" s="7" t="n"/>
      <c r="H16" s="7" t="n"/>
      <c r="I16" s="7" t="n"/>
      <c r="J16" s="7" t="n"/>
      <c r="K16" s="7">
        <f>IF(OR($H16="",$J16=""),"",$H16-$J16)</f>
        <v/>
      </c>
      <c r="L16" s="6" t="n"/>
    </row>
    <row r="17">
      <c r="A17" s="7">
        <f>IF($D17="","",ROW()-2)</f>
        <v/>
      </c>
      <c r="B17" s="7" t="n"/>
      <c r="C17" s="7" t="n"/>
      <c r="D17" s="6" t="n"/>
      <c r="E17" s="7" t="n"/>
      <c r="F17" s="7" t="n"/>
      <c r="G17" s="7" t="n"/>
      <c r="H17" s="7" t="n"/>
      <c r="I17" s="7" t="n"/>
      <c r="J17" s="7" t="n"/>
      <c r="K17" s="7">
        <f>IF(OR($H17="",$J17=""),"",$H17-$J17)</f>
        <v/>
      </c>
      <c r="L17" s="6" t="n"/>
    </row>
    <row r="18">
      <c r="A18" s="7">
        <f>IF($D18="","",ROW()-2)</f>
        <v/>
      </c>
      <c r="B18" s="7" t="n"/>
      <c r="C18" s="7" t="n"/>
      <c r="D18" s="6" t="n"/>
      <c r="E18" s="7" t="n"/>
      <c r="F18" s="7" t="n"/>
      <c r="G18" s="7" t="n"/>
      <c r="H18" s="7" t="n"/>
      <c r="I18" s="7" t="n"/>
      <c r="J18" s="7" t="n"/>
      <c r="K18" s="7">
        <f>IF(OR($H18="",$J18=""),"",$H18-$J18)</f>
        <v/>
      </c>
      <c r="L18" s="6" t="n"/>
    </row>
    <row r="19">
      <c r="A19" s="7">
        <f>IF($D19="","",ROW()-2)</f>
        <v/>
      </c>
      <c r="B19" s="7" t="n"/>
      <c r="C19" s="7" t="n"/>
      <c r="D19" s="6" t="n"/>
      <c r="E19" s="7" t="n"/>
      <c r="F19" s="7" t="n"/>
      <c r="G19" s="7" t="n"/>
      <c r="H19" s="7" t="n"/>
      <c r="I19" s="7" t="n"/>
      <c r="J19" s="7" t="n"/>
      <c r="K19" s="7">
        <f>IF(OR($H19="",$J19=""),"",$H19-$J19)</f>
        <v/>
      </c>
      <c r="L19" s="6" t="n"/>
    </row>
    <row r="20">
      <c r="A20" s="7">
        <f>IF($D20="","",ROW()-2)</f>
        <v/>
      </c>
      <c r="B20" s="7" t="n"/>
      <c r="C20" s="7" t="n"/>
      <c r="D20" s="6" t="n"/>
      <c r="E20" s="7" t="n"/>
      <c r="F20" s="7" t="n"/>
      <c r="G20" s="7" t="n"/>
      <c r="H20" s="7" t="n"/>
      <c r="I20" s="7" t="n"/>
      <c r="J20" s="7" t="n"/>
      <c r="K20" s="7">
        <f>IF(OR($H20="",$J20=""),"",$H20-$J20)</f>
        <v/>
      </c>
      <c r="L20" s="6" t="n"/>
    </row>
    <row r="21">
      <c r="A21" s="7">
        <f>IF($D21="","",ROW()-2)</f>
        <v/>
      </c>
      <c r="B21" s="7" t="n"/>
      <c r="C21" s="7" t="n"/>
      <c r="D21" s="6" t="n"/>
      <c r="E21" s="7" t="n"/>
      <c r="F21" s="7" t="n"/>
      <c r="G21" s="7" t="n"/>
      <c r="H21" s="7" t="n"/>
      <c r="I21" s="7" t="n"/>
      <c r="J21" s="7" t="n"/>
      <c r="K21" s="7">
        <f>IF(OR($H21="",$J21=""),"",$H21-$J21)</f>
        <v/>
      </c>
      <c r="L21" s="6" t="n"/>
    </row>
    <row r="22">
      <c r="A22" s="7">
        <f>IF($D22="","",ROW()-2)</f>
        <v/>
      </c>
      <c r="B22" s="7" t="n"/>
      <c r="C22" s="7" t="n"/>
      <c r="D22" s="6" t="n"/>
      <c r="E22" s="7" t="n"/>
      <c r="F22" s="7" t="n"/>
      <c r="G22" s="7" t="n"/>
      <c r="H22" s="7" t="n"/>
      <c r="I22" s="7" t="n"/>
      <c r="J22" s="7" t="n"/>
      <c r="K22" s="7">
        <f>IF(OR($H22="",$J22=""),"",$H22-$J22)</f>
        <v/>
      </c>
      <c r="L22" s="6" t="n"/>
    </row>
    <row r="23">
      <c r="A23" s="7">
        <f>IF($D23="","",ROW()-2)</f>
        <v/>
      </c>
      <c r="B23" s="7" t="n"/>
      <c r="C23" s="7" t="n"/>
      <c r="D23" s="6" t="n"/>
      <c r="E23" s="7" t="n"/>
      <c r="F23" s="7" t="n"/>
      <c r="G23" s="7" t="n"/>
      <c r="H23" s="7" t="n"/>
      <c r="I23" s="7" t="n"/>
      <c r="J23" s="7" t="n"/>
      <c r="K23" s="7">
        <f>IF(OR($H23="",$J23=""),"",$H23-$J23)</f>
        <v/>
      </c>
      <c r="L23" s="6" t="n"/>
    </row>
    <row r="24">
      <c r="A24" s="7">
        <f>IF($D24="","",ROW()-2)</f>
        <v/>
      </c>
      <c r="B24" s="7" t="n"/>
      <c r="C24" s="7" t="n"/>
      <c r="D24" s="6" t="n"/>
      <c r="E24" s="7" t="n"/>
      <c r="F24" s="7" t="n"/>
      <c r="G24" s="7" t="n"/>
      <c r="H24" s="7" t="n"/>
      <c r="I24" s="7" t="n"/>
      <c r="J24" s="7" t="n"/>
      <c r="K24" s="7">
        <f>IF(OR($H24="",$J24=""),"",$H24-$J24)</f>
        <v/>
      </c>
      <c r="L24" s="6" t="n"/>
    </row>
    <row r="25">
      <c r="A25" s="7">
        <f>IF($D25="","",ROW()-2)</f>
        <v/>
      </c>
      <c r="B25" s="7" t="n"/>
      <c r="C25" s="7" t="n"/>
      <c r="D25" s="6" t="n"/>
      <c r="E25" s="7" t="n"/>
      <c r="F25" s="7" t="n"/>
      <c r="G25" s="7" t="n"/>
      <c r="H25" s="7" t="n"/>
      <c r="I25" s="7" t="n"/>
      <c r="J25" s="7" t="n"/>
      <c r="K25" s="7">
        <f>IF(OR($H25="",$J25=""),"",$H25-$J25)</f>
        <v/>
      </c>
      <c r="L25" s="6" t="n"/>
    </row>
    <row r="26">
      <c r="A26" s="7">
        <f>IF($D26="","",ROW()-2)</f>
        <v/>
      </c>
      <c r="B26" s="7" t="n"/>
      <c r="C26" s="7" t="n"/>
      <c r="D26" s="6" t="n"/>
      <c r="E26" s="7" t="n"/>
      <c r="F26" s="7" t="n"/>
      <c r="G26" s="7" t="n"/>
      <c r="H26" s="7" t="n"/>
      <c r="I26" s="7" t="n"/>
      <c r="J26" s="7" t="n"/>
      <c r="K26" s="7">
        <f>IF(OR($H26="",$J26=""),"",$H26-$J26)</f>
        <v/>
      </c>
      <c r="L26" s="6" t="n"/>
    </row>
    <row r="27">
      <c r="A27" s="7">
        <f>IF($D27="","",ROW()-2)</f>
        <v/>
      </c>
      <c r="B27" s="7" t="n"/>
      <c r="C27" s="7" t="n"/>
      <c r="D27" s="6" t="n"/>
      <c r="E27" s="7" t="n"/>
      <c r="F27" s="7" t="n"/>
      <c r="G27" s="7" t="n"/>
      <c r="H27" s="7" t="n"/>
      <c r="I27" s="7" t="n"/>
      <c r="J27" s="7" t="n"/>
      <c r="K27" s="7">
        <f>IF(OR($H27="",$J27=""),"",$H27-$J27)</f>
        <v/>
      </c>
      <c r="L27" s="6" t="n"/>
    </row>
    <row r="28">
      <c r="A28" s="7">
        <f>IF($D28="","",ROW()-2)</f>
        <v/>
      </c>
      <c r="B28" s="7" t="n"/>
      <c r="C28" s="7" t="n"/>
      <c r="D28" s="6" t="n"/>
      <c r="E28" s="7" t="n"/>
      <c r="F28" s="7" t="n"/>
      <c r="G28" s="7" t="n"/>
      <c r="H28" s="7" t="n"/>
      <c r="I28" s="7" t="n"/>
      <c r="J28" s="7" t="n"/>
      <c r="K28" s="7">
        <f>IF(OR($H28="",$J28=""),"",$H28-$J28)</f>
        <v/>
      </c>
      <c r="L28" s="6" t="n"/>
    </row>
    <row r="29">
      <c r="A29" s="7">
        <f>IF($D29="","",ROW()-2)</f>
        <v/>
      </c>
      <c r="B29" s="7" t="n"/>
      <c r="C29" s="7" t="n"/>
      <c r="D29" s="6" t="n"/>
      <c r="E29" s="7" t="n"/>
      <c r="F29" s="7" t="n"/>
      <c r="G29" s="7" t="n"/>
      <c r="H29" s="7" t="n"/>
      <c r="I29" s="7" t="n"/>
      <c r="J29" s="7" t="n"/>
      <c r="K29" s="7">
        <f>IF(OR($H29="",$J29=""),"",$H29-$J29)</f>
        <v/>
      </c>
      <c r="L29" s="6" t="n"/>
    </row>
    <row r="30">
      <c r="A30" s="7">
        <f>IF($D30="","",ROW()-2)</f>
        <v/>
      </c>
      <c r="B30" s="7" t="n"/>
      <c r="C30" s="7" t="n"/>
      <c r="D30" s="6" t="n"/>
      <c r="E30" s="7" t="n"/>
      <c r="F30" s="7" t="n"/>
      <c r="G30" s="7" t="n"/>
      <c r="H30" s="7" t="n"/>
      <c r="I30" s="7" t="n"/>
      <c r="J30" s="7" t="n"/>
      <c r="K30" s="7">
        <f>IF(OR($H30="",$J30=""),"",$H30-$J30)</f>
        <v/>
      </c>
      <c r="L30" s="6" t="n"/>
    </row>
    <row r="31">
      <c r="A31" s="7">
        <f>IF($D31="","",ROW()-2)</f>
        <v/>
      </c>
      <c r="B31" s="7" t="n"/>
      <c r="C31" s="7" t="n"/>
      <c r="D31" s="6" t="n"/>
      <c r="E31" s="7" t="n"/>
      <c r="F31" s="7" t="n"/>
      <c r="G31" s="7" t="n"/>
      <c r="H31" s="7" t="n"/>
      <c r="I31" s="7" t="n"/>
      <c r="J31" s="7" t="n"/>
      <c r="K31" s="7">
        <f>IF(OR($H31="",$J31=""),"",$H31-$J31)</f>
        <v/>
      </c>
      <c r="L31" s="6" t="n"/>
    </row>
    <row r="32">
      <c r="A32" s="7">
        <f>IF($D32="","",ROW()-2)</f>
        <v/>
      </c>
      <c r="B32" s="7" t="n"/>
      <c r="C32" s="7" t="n"/>
      <c r="D32" s="6" t="n"/>
      <c r="E32" s="7" t="n"/>
      <c r="F32" s="7" t="n"/>
      <c r="G32" s="7" t="n"/>
      <c r="H32" s="7" t="n"/>
      <c r="I32" s="7" t="n"/>
      <c r="J32" s="7" t="n"/>
      <c r="K32" s="7">
        <f>IF(OR($H32="",$J32=""),"",$H32-$J32)</f>
        <v/>
      </c>
      <c r="L32" s="6" t="n"/>
    </row>
    <row r="33">
      <c r="A33" s="7">
        <f>IF($D33="","",ROW()-2)</f>
        <v/>
      </c>
      <c r="B33" s="7" t="n"/>
      <c r="C33" s="7" t="n"/>
      <c r="D33" s="6" t="n"/>
      <c r="E33" s="7" t="n"/>
      <c r="F33" s="7" t="n"/>
      <c r="G33" s="7" t="n"/>
      <c r="H33" s="7" t="n"/>
      <c r="I33" s="7" t="n"/>
      <c r="J33" s="7" t="n"/>
      <c r="K33" s="7">
        <f>IF(OR($H33="",$J33=""),"",$H33-$J33)</f>
        <v/>
      </c>
      <c r="L33" s="6" t="n"/>
    </row>
    <row r="34">
      <c r="A34" s="7">
        <f>IF($D34="","",ROW()-2)</f>
        <v/>
      </c>
      <c r="B34" s="7" t="n"/>
      <c r="C34" s="7" t="n"/>
      <c r="D34" s="6" t="n"/>
      <c r="E34" s="7" t="n"/>
      <c r="F34" s="7" t="n"/>
      <c r="G34" s="7" t="n"/>
      <c r="H34" s="7" t="n"/>
      <c r="I34" s="7" t="n"/>
      <c r="J34" s="7" t="n"/>
      <c r="K34" s="7">
        <f>IF(OR($H34="",$J34=""),"",$H34-$J34)</f>
        <v/>
      </c>
      <c r="L34" s="6" t="n"/>
    </row>
    <row r="35">
      <c r="A35" s="7">
        <f>IF($D35="","",ROW()-2)</f>
        <v/>
      </c>
      <c r="B35" s="7" t="n"/>
      <c r="C35" s="7" t="n"/>
      <c r="D35" s="6" t="n"/>
      <c r="E35" s="7" t="n"/>
      <c r="F35" s="7" t="n"/>
      <c r="G35" s="7" t="n"/>
      <c r="H35" s="7" t="n"/>
      <c r="I35" s="7" t="n"/>
      <c r="J35" s="7" t="n"/>
      <c r="K35" s="7">
        <f>IF(OR($H35="",$J35=""),"",$H35-$J35)</f>
        <v/>
      </c>
      <c r="L35" s="6" t="n"/>
    </row>
    <row r="36">
      <c r="A36" s="7">
        <f>IF($D36="","",ROW()-2)</f>
        <v/>
      </c>
      <c r="B36" s="7" t="n"/>
      <c r="C36" s="7" t="n"/>
      <c r="D36" s="6" t="n"/>
      <c r="E36" s="7" t="n"/>
      <c r="F36" s="7" t="n"/>
      <c r="G36" s="7" t="n"/>
      <c r="H36" s="7" t="n"/>
      <c r="I36" s="7" t="n"/>
      <c r="J36" s="7" t="n"/>
      <c r="K36" s="7">
        <f>IF(OR($H36="",$J36=""),"",$H36-$J36)</f>
        <v/>
      </c>
      <c r="L36" s="6" t="n"/>
    </row>
    <row r="37">
      <c r="A37" s="7">
        <f>IF($D37="","",ROW()-2)</f>
        <v/>
      </c>
      <c r="B37" s="7" t="n"/>
      <c r="C37" s="7" t="n"/>
      <c r="D37" s="6" t="n"/>
      <c r="E37" s="7" t="n"/>
      <c r="F37" s="7" t="n"/>
      <c r="G37" s="7" t="n"/>
      <c r="H37" s="7" t="n"/>
      <c r="I37" s="7" t="n"/>
      <c r="J37" s="7" t="n"/>
      <c r="K37" s="7">
        <f>IF(OR($H37="",$J37=""),"",$H37-$J37)</f>
        <v/>
      </c>
      <c r="L37" s="6" t="n"/>
    </row>
    <row r="38">
      <c r="A38" s="7">
        <f>IF($D38="","",ROW()-2)</f>
        <v/>
      </c>
      <c r="B38" s="7" t="n"/>
      <c r="C38" s="7" t="n"/>
      <c r="D38" s="6" t="n"/>
      <c r="E38" s="7" t="n"/>
      <c r="F38" s="7" t="n"/>
      <c r="G38" s="7" t="n"/>
      <c r="H38" s="7" t="n"/>
      <c r="I38" s="7" t="n"/>
      <c r="J38" s="7" t="n"/>
      <c r="K38" s="7">
        <f>IF(OR($H38="",$J38=""),"",$H38-$J38)</f>
        <v/>
      </c>
      <c r="L38" s="6" t="n"/>
    </row>
    <row r="39">
      <c r="A39" s="7">
        <f>IF($D39="","",ROW()-2)</f>
        <v/>
      </c>
      <c r="B39" s="7" t="n"/>
      <c r="C39" s="7" t="n"/>
      <c r="D39" s="6" t="n"/>
      <c r="E39" s="7" t="n"/>
      <c r="F39" s="7" t="n"/>
      <c r="G39" s="7" t="n"/>
      <c r="H39" s="7" t="n"/>
      <c r="I39" s="7" t="n"/>
      <c r="J39" s="7" t="n"/>
      <c r="K39" s="7">
        <f>IF(OR($H39="",$J39=""),"",$H39-$J39)</f>
        <v/>
      </c>
      <c r="L39" s="6" t="n"/>
    </row>
    <row r="40">
      <c r="A40" s="7">
        <f>IF($D40="","",ROW()-2)</f>
        <v/>
      </c>
      <c r="B40" s="7" t="n"/>
      <c r="C40" s="7" t="n"/>
      <c r="D40" s="6" t="n"/>
      <c r="E40" s="7" t="n"/>
      <c r="F40" s="7" t="n"/>
      <c r="G40" s="7" t="n"/>
      <c r="H40" s="7" t="n"/>
      <c r="I40" s="7" t="n"/>
      <c r="J40" s="7" t="n"/>
      <c r="K40" s="7">
        <f>IF(OR($H40="",$J40=""),"",$H40-$J40)</f>
        <v/>
      </c>
      <c r="L40" s="6" t="n"/>
    </row>
    <row r="41">
      <c r="A41" s="7">
        <f>IF($D41="","",ROW()-2)</f>
        <v/>
      </c>
      <c r="B41" s="7" t="n"/>
      <c r="C41" s="7" t="n"/>
      <c r="D41" s="6" t="n"/>
      <c r="E41" s="7" t="n"/>
      <c r="F41" s="7" t="n"/>
      <c r="G41" s="7" t="n"/>
      <c r="H41" s="7" t="n"/>
      <c r="I41" s="7" t="n"/>
      <c r="J41" s="7" t="n"/>
      <c r="K41" s="7">
        <f>IF(OR($H41="",$J41=""),"",$H41-$J41)</f>
        <v/>
      </c>
      <c r="L41" s="6" t="n"/>
    </row>
    <row r="42">
      <c r="A42" s="7">
        <f>IF($D42="","",ROW()-2)</f>
        <v/>
      </c>
      <c r="B42" s="7" t="n"/>
      <c r="C42" s="7" t="n"/>
      <c r="D42" s="6" t="n"/>
      <c r="E42" s="7" t="n"/>
      <c r="F42" s="7" t="n"/>
      <c r="G42" s="7" t="n"/>
      <c r="H42" s="7" t="n"/>
      <c r="I42" s="7" t="n"/>
      <c r="J42" s="7" t="n"/>
      <c r="K42" s="7">
        <f>IF(OR($H42="",$J42=""),"",$H42-$J42)</f>
        <v/>
      </c>
      <c r="L42" s="6" t="n"/>
    </row>
    <row r="43">
      <c r="A43" s="7">
        <f>IF($D43="","",ROW()-2)</f>
        <v/>
      </c>
      <c r="B43" s="7" t="n"/>
      <c r="C43" s="7" t="n"/>
      <c r="D43" s="6" t="n"/>
      <c r="E43" s="7" t="n"/>
      <c r="F43" s="7" t="n"/>
      <c r="G43" s="7" t="n"/>
      <c r="H43" s="7" t="n"/>
      <c r="I43" s="7" t="n"/>
      <c r="J43" s="7" t="n"/>
      <c r="K43" s="7">
        <f>IF(OR($H43="",$J43=""),"",$H43-$J43)</f>
        <v/>
      </c>
      <c r="L43" s="6" t="n"/>
    </row>
    <row r="44">
      <c r="A44" s="7">
        <f>IF($D44="","",ROW()-2)</f>
        <v/>
      </c>
      <c r="B44" s="7" t="n"/>
      <c r="C44" s="7" t="n"/>
      <c r="D44" s="6" t="n"/>
      <c r="E44" s="7" t="n"/>
      <c r="F44" s="7" t="n"/>
      <c r="G44" s="7" t="n"/>
      <c r="H44" s="7" t="n"/>
      <c r="I44" s="7" t="n"/>
      <c r="J44" s="7" t="n"/>
      <c r="K44" s="7">
        <f>IF(OR($H44="",$J44=""),"",$H44-$J44)</f>
        <v/>
      </c>
      <c r="L44" s="6" t="n"/>
    </row>
    <row r="45">
      <c r="A45" s="7">
        <f>IF($D45="","",ROW()-2)</f>
        <v/>
      </c>
      <c r="B45" s="7" t="n"/>
      <c r="C45" s="7" t="n"/>
      <c r="D45" s="6" t="n"/>
      <c r="E45" s="7" t="n"/>
      <c r="F45" s="7" t="n"/>
      <c r="G45" s="7" t="n"/>
      <c r="H45" s="7" t="n"/>
      <c r="I45" s="7" t="n"/>
      <c r="J45" s="7" t="n"/>
      <c r="K45" s="7">
        <f>IF(OR($H45="",$J45=""),"",$H45-$J45)</f>
        <v/>
      </c>
      <c r="L45" s="6" t="n"/>
    </row>
    <row r="46">
      <c r="A46" s="7">
        <f>IF($D46="","",ROW()-2)</f>
        <v/>
      </c>
      <c r="B46" s="7" t="n"/>
      <c r="C46" s="7" t="n"/>
      <c r="D46" s="6" t="n"/>
      <c r="E46" s="7" t="n"/>
      <c r="F46" s="7" t="n"/>
      <c r="G46" s="7" t="n"/>
      <c r="H46" s="7" t="n"/>
      <c r="I46" s="7" t="n"/>
      <c r="J46" s="7" t="n"/>
      <c r="K46" s="7">
        <f>IF(OR($H46="",$J46=""),"",$H46-$J46)</f>
        <v/>
      </c>
      <c r="L46" s="6" t="n"/>
    </row>
    <row r="47">
      <c r="A47" s="7">
        <f>IF($D47="","",ROW()-2)</f>
        <v/>
      </c>
      <c r="B47" s="7" t="n"/>
      <c r="C47" s="7" t="n"/>
      <c r="D47" s="6" t="n"/>
      <c r="E47" s="7" t="n"/>
      <c r="F47" s="7" t="n"/>
      <c r="G47" s="7" t="n"/>
      <c r="H47" s="7" t="n"/>
      <c r="I47" s="7" t="n"/>
      <c r="J47" s="7" t="n"/>
      <c r="K47" s="7">
        <f>IF(OR($H47="",$J47=""),"",$H47-$J47)</f>
        <v/>
      </c>
      <c r="L47" s="6" t="n"/>
    </row>
    <row r="48">
      <c r="A48" s="7">
        <f>IF($D48="","",ROW()-2)</f>
        <v/>
      </c>
      <c r="B48" s="7" t="n"/>
      <c r="C48" s="7" t="n"/>
      <c r="D48" s="6" t="n"/>
      <c r="E48" s="7" t="n"/>
      <c r="F48" s="7" t="n"/>
      <c r="G48" s="7" t="n"/>
      <c r="H48" s="7" t="n"/>
      <c r="I48" s="7" t="n"/>
      <c r="J48" s="7" t="n"/>
      <c r="K48" s="7">
        <f>IF(OR($H48="",$J48=""),"",$H48-$J48)</f>
        <v/>
      </c>
      <c r="L48" s="6" t="n"/>
    </row>
    <row r="49">
      <c r="A49" s="7">
        <f>IF($D49="","",ROW()-2)</f>
        <v/>
      </c>
      <c r="B49" s="7" t="n"/>
      <c r="C49" s="7" t="n"/>
      <c r="D49" s="6" t="n"/>
      <c r="E49" s="7" t="n"/>
      <c r="F49" s="7" t="n"/>
      <c r="G49" s="7" t="n"/>
      <c r="H49" s="7" t="n"/>
      <c r="I49" s="7" t="n"/>
      <c r="J49" s="7" t="n"/>
      <c r="K49" s="7">
        <f>IF(OR($H49="",$J49=""),"",$H49-$J49)</f>
        <v/>
      </c>
      <c r="L49" s="6" t="n"/>
    </row>
    <row r="50">
      <c r="A50" s="7">
        <f>IF($D50="","",ROW()-2)</f>
        <v/>
      </c>
      <c r="B50" s="7" t="n"/>
      <c r="C50" s="7" t="n"/>
      <c r="D50" s="6" t="n"/>
      <c r="E50" s="7" t="n"/>
      <c r="F50" s="7" t="n"/>
      <c r="G50" s="7" t="n"/>
      <c r="H50" s="7" t="n"/>
      <c r="I50" s="7" t="n"/>
      <c r="J50" s="7" t="n"/>
      <c r="K50" s="7">
        <f>IF(OR($H50="",$J50=""),"",$H50-$J50)</f>
        <v/>
      </c>
      <c r="L50" s="6" t="n"/>
    </row>
    <row r="51">
      <c r="A51" s="7">
        <f>IF($D51="","",ROW()-2)</f>
        <v/>
      </c>
      <c r="B51" s="7" t="n"/>
      <c r="C51" s="7" t="n"/>
      <c r="D51" s="6" t="n"/>
      <c r="E51" s="7" t="n"/>
      <c r="F51" s="7" t="n"/>
      <c r="G51" s="7" t="n"/>
      <c r="H51" s="7" t="n"/>
      <c r="I51" s="7" t="n"/>
      <c r="J51" s="7" t="n"/>
      <c r="K51" s="7">
        <f>IF(OR($H51="",$J51=""),"",$H51-$J51)</f>
        <v/>
      </c>
      <c r="L51" s="6" t="n"/>
    </row>
    <row r="52">
      <c r="A52" s="7">
        <f>IF($D52="","",ROW()-2)</f>
        <v/>
      </c>
      <c r="B52" s="7" t="n"/>
      <c r="C52" s="7" t="n"/>
      <c r="D52" s="6" t="n"/>
      <c r="E52" s="7" t="n"/>
      <c r="F52" s="7" t="n"/>
      <c r="G52" s="7" t="n"/>
      <c r="H52" s="7" t="n"/>
      <c r="I52" s="7" t="n"/>
      <c r="J52" s="7" t="n"/>
      <c r="K52" s="7">
        <f>IF(OR($H52="",$J52=""),"",$H52-$J52)</f>
        <v/>
      </c>
      <c r="L52" s="6" t="n"/>
    </row>
    <row r="53">
      <c r="A53" s="7">
        <f>IF($D53="","",ROW()-2)</f>
        <v/>
      </c>
      <c r="B53" s="7" t="n"/>
      <c r="C53" s="7" t="n"/>
      <c r="D53" s="6" t="n"/>
      <c r="E53" s="7" t="n"/>
      <c r="F53" s="7" t="n"/>
      <c r="G53" s="7" t="n"/>
      <c r="H53" s="7" t="n"/>
      <c r="I53" s="7" t="n"/>
      <c r="J53" s="7" t="n"/>
      <c r="K53" s="7">
        <f>IF(OR($H53="",$J53=""),"",$H53-$J53)</f>
        <v/>
      </c>
      <c r="L53" s="6" t="n"/>
    </row>
    <row r="54">
      <c r="A54" s="7">
        <f>IF($D54="","",ROW()-2)</f>
        <v/>
      </c>
      <c r="B54" s="7" t="n"/>
      <c r="C54" s="7" t="n"/>
      <c r="D54" s="6" t="n"/>
      <c r="E54" s="7" t="n"/>
      <c r="F54" s="7" t="n"/>
      <c r="G54" s="7" t="n"/>
      <c r="H54" s="7" t="n"/>
      <c r="I54" s="7" t="n"/>
      <c r="J54" s="7" t="n"/>
      <c r="K54" s="7">
        <f>IF(OR($H54="",$J54=""),"",$H54-$J54)</f>
        <v/>
      </c>
      <c r="L54" s="6" t="n"/>
    </row>
    <row r="55">
      <c r="A55" s="7">
        <f>IF($D55="","",ROW()-2)</f>
        <v/>
      </c>
      <c r="B55" s="7" t="n"/>
      <c r="C55" s="7" t="n"/>
      <c r="D55" s="6" t="n"/>
      <c r="E55" s="7" t="n"/>
      <c r="F55" s="7" t="n"/>
      <c r="G55" s="7" t="n"/>
      <c r="H55" s="7" t="n"/>
      <c r="I55" s="7" t="n"/>
      <c r="J55" s="7" t="n"/>
      <c r="K55" s="7">
        <f>IF(OR($H55="",$J55=""),"",$H55-$J55)</f>
        <v/>
      </c>
      <c r="L55" s="6" t="n"/>
    </row>
    <row r="56">
      <c r="A56" s="7">
        <f>IF($D56="","",ROW()-2)</f>
        <v/>
      </c>
      <c r="B56" s="7" t="n"/>
      <c r="C56" s="7" t="n"/>
      <c r="D56" s="6" t="n"/>
      <c r="E56" s="7" t="n"/>
      <c r="F56" s="7" t="n"/>
      <c r="G56" s="7" t="n"/>
      <c r="H56" s="7" t="n"/>
      <c r="I56" s="7" t="n"/>
      <c r="J56" s="7" t="n"/>
      <c r="K56" s="7">
        <f>IF(OR($H56="",$J56=""),"",$H56-$J56)</f>
        <v/>
      </c>
      <c r="L56" s="6" t="n"/>
    </row>
    <row r="57">
      <c r="A57" s="7">
        <f>IF($D57="","",ROW()-2)</f>
        <v/>
      </c>
      <c r="B57" s="7" t="n"/>
      <c r="C57" s="7" t="n"/>
      <c r="D57" s="6" t="n"/>
      <c r="E57" s="7" t="n"/>
      <c r="F57" s="7" t="n"/>
      <c r="G57" s="7" t="n"/>
      <c r="H57" s="7" t="n"/>
      <c r="I57" s="7" t="n"/>
      <c r="J57" s="7" t="n"/>
      <c r="K57" s="7">
        <f>IF(OR($H57="",$J57=""),"",$H57-$J57)</f>
        <v/>
      </c>
      <c r="L57" s="6" t="n"/>
    </row>
    <row r="58">
      <c r="A58" s="7">
        <f>IF($D58="","",ROW()-2)</f>
        <v/>
      </c>
      <c r="B58" s="7" t="n"/>
      <c r="C58" s="7" t="n"/>
      <c r="D58" s="6" t="n"/>
      <c r="E58" s="7" t="n"/>
      <c r="F58" s="7" t="n"/>
      <c r="G58" s="7" t="n"/>
      <c r="H58" s="7" t="n"/>
      <c r="I58" s="7" t="n"/>
      <c r="J58" s="7" t="n"/>
      <c r="K58" s="7">
        <f>IF(OR($H58="",$J58=""),"",$H58-$J58)</f>
        <v/>
      </c>
      <c r="L58" s="6" t="n"/>
    </row>
    <row r="59">
      <c r="A59" s="7">
        <f>IF($D59="","",ROW()-2)</f>
        <v/>
      </c>
      <c r="B59" s="7" t="n"/>
      <c r="C59" s="7" t="n"/>
      <c r="D59" s="6" t="n"/>
      <c r="E59" s="7" t="n"/>
      <c r="F59" s="7" t="n"/>
      <c r="G59" s="7" t="n"/>
      <c r="H59" s="7" t="n"/>
      <c r="I59" s="7" t="n"/>
      <c r="J59" s="7" t="n"/>
      <c r="K59" s="7">
        <f>IF(OR($H59="",$J59=""),"",$H59-$J59)</f>
        <v/>
      </c>
      <c r="L59" s="6" t="n"/>
    </row>
    <row r="60">
      <c r="A60" s="7">
        <f>IF($D60="","",ROW()-2)</f>
        <v/>
      </c>
      <c r="B60" s="7" t="n"/>
      <c r="C60" s="7" t="n"/>
      <c r="D60" s="6" t="n"/>
      <c r="E60" s="7" t="n"/>
      <c r="F60" s="7" t="n"/>
      <c r="G60" s="7" t="n"/>
      <c r="H60" s="7" t="n"/>
      <c r="I60" s="7" t="n"/>
      <c r="J60" s="7" t="n"/>
      <c r="K60" s="7">
        <f>IF(OR($H60="",$J60=""),"",$H60-$J60)</f>
        <v/>
      </c>
      <c r="L60" s="6" t="n"/>
    </row>
    <row r="61">
      <c r="A61" s="7">
        <f>IF($D61="","",ROW()-2)</f>
        <v/>
      </c>
      <c r="B61" s="7" t="n"/>
      <c r="C61" s="7" t="n"/>
      <c r="D61" s="6" t="n"/>
      <c r="E61" s="7" t="n"/>
      <c r="F61" s="7" t="n"/>
      <c r="G61" s="7" t="n"/>
      <c r="H61" s="7" t="n"/>
      <c r="I61" s="7" t="n"/>
      <c r="J61" s="7" t="n"/>
      <c r="K61" s="7">
        <f>IF(OR($H61="",$J61=""),"",$H61-$J61)</f>
        <v/>
      </c>
      <c r="L61" s="6" t="n"/>
    </row>
    <row r="62">
      <c r="A62" s="7">
        <f>IF($D62="","",ROW()-2)</f>
        <v/>
      </c>
      <c r="B62" s="7" t="n"/>
      <c r="C62" s="7" t="n"/>
      <c r="D62" s="6" t="n"/>
      <c r="E62" s="7" t="n"/>
      <c r="F62" s="7" t="n"/>
      <c r="G62" s="7" t="n"/>
      <c r="H62" s="7" t="n"/>
      <c r="I62" s="7" t="n"/>
      <c r="J62" s="7" t="n"/>
      <c r="K62" s="7">
        <f>IF(OR($H62="",$J62=""),"",$H62-$J62)</f>
        <v/>
      </c>
      <c r="L62" s="6" t="n"/>
    </row>
    <row r="63">
      <c r="A63" s="7">
        <f>IF($D63="","",ROW()-2)</f>
        <v/>
      </c>
      <c r="B63" s="7" t="n"/>
      <c r="C63" s="7" t="n"/>
      <c r="D63" s="6" t="n"/>
      <c r="E63" s="7" t="n"/>
      <c r="F63" s="7" t="n"/>
      <c r="G63" s="7" t="n"/>
      <c r="H63" s="7" t="n"/>
      <c r="I63" s="7" t="n"/>
      <c r="J63" s="7" t="n"/>
      <c r="K63" s="7">
        <f>IF(OR($H63="",$J63=""),"",$H63-$J63)</f>
        <v/>
      </c>
      <c r="L63" s="6" t="n"/>
    </row>
    <row r="64">
      <c r="A64" s="7">
        <f>IF($D64="","",ROW()-2)</f>
        <v/>
      </c>
      <c r="B64" s="7" t="n"/>
      <c r="C64" s="7" t="n"/>
      <c r="D64" s="6" t="n"/>
      <c r="E64" s="7" t="n"/>
      <c r="F64" s="7" t="n"/>
      <c r="G64" s="7" t="n"/>
      <c r="H64" s="7" t="n"/>
      <c r="I64" s="7" t="n"/>
      <c r="J64" s="7" t="n"/>
      <c r="K64" s="7">
        <f>IF(OR($H64="",$J64=""),"",$H64-$J64)</f>
        <v/>
      </c>
      <c r="L64" s="6" t="n"/>
    </row>
    <row r="65">
      <c r="A65" s="7">
        <f>IF($D65="","",ROW()-2)</f>
        <v/>
      </c>
      <c r="B65" s="7" t="n"/>
      <c r="C65" s="7" t="n"/>
      <c r="D65" s="6" t="n"/>
      <c r="E65" s="7" t="n"/>
      <c r="F65" s="7" t="n"/>
      <c r="G65" s="7" t="n"/>
      <c r="H65" s="7" t="n"/>
      <c r="I65" s="7" t="n"/>
      <c r="J65" s="7" t="n"/>
      <c r="K65" s="7">
        <f>IF(OR($H65="",$J65=""),"",$H65-$J65)</f>
        <v/>
      </c>
      <c r="L65" s="6" t="n"/>
    </row>
    <row r="66">
      <c r="A66" s="7">
        <f>IF($D66="","",ROW()-2)</f>
        <v/>
      </c>
      <c r="B66" s="7" t="n"/>
      <c r="C66" s="7" t="n"/>
      <c r="D66" s="6" t="n"/>
      <c r="E66" s="7" t="n"/>
      <c r="F66" s="7" t="n"/>
      <c r="G66" s="7" t="n"/>
      <c r="H66" s="7" t="n"/>
      <c r="I66" s="7" t="n"/>
      <c r="J66" s="7" t="n"/>
      <c r="K66" s="7">
        <f>IF(OR($H66="",$J66=""),"",$H66-$J66)</f>
        <v/>
      </c>
      <c r="L66" s="6" t="n"/>
    </row>
    <row r="67">
      <c r="A67" s="7">
        <f>IF($D67="","",ROW()-2)</f>
        <v/>
      </c>
      <c r="B67" s="7" t="n"/>
      <c r="C67" s="7" t="n"/>
      <c r="D67" s="6" t="n"/>
      <c r="E67" s="7" t="n"/>
      <c r="F67" s="7" t="n"/>
      <c r="G67" s="7" t="n"/>
      <c r="H67" s="7" t="n"/>
      <c r="I67" s="7" t="n"/>
      <c r="J67" s="7" t="n"/>
      <c r="K67" s="7">
        <f>IF(OR($H67="",$J67=""),"",$H67-$J67)</f>
        <v/>
      </c>
      <c r="L67" s="6" t="n"/>
    </row>
    <row r="68">
      <c r="A68" s="7">
        <f>IF($D68="","",ROW()-2)</f>
        <v/>
      </c>
      <c r="B68" s="7" t="n"/>
      <c r="C68" s="7" t="n"/>
      <c r="D68" s="6" t="n"/>
      <c r="E68" s="7" t="n"/>
      <c r="F68" s="7" t="n"/>
      <c r="G68" s="7" t="n"/>
      <c r="H68" s="7" t="n"/>
      <c r="I68" s="7" t="n"/>
      <c r="J68" s="7" t="n"/>
      <c r="K68" s="7">
        <f>IF(OR($H68="",$J68=""),"",$H68-$J68)</f>
        <v/>
      </c>
      <c r="L68" s="6" t="n"/>
    </row>
    <row r="69">
      <c r="A69" s="7">
        <f>IF($D69="","",ROW()-2)</f>
        <v/>
      </c>
      <c r="B69" s="7" t="n"/>
      <c r="C69" s="7" t="n"/>
      <c r="D69" s="6" t="n"/>
      <c r="E69" s="7" t="n"/>
      <c r="F69" s="7" t="n"/>
      <c r="G69" s="7" t="n"/>
      <c r="H69" s="7" t="n"/>
      <c r="I69" s="7" t="n"/>
      <c r="J69" s="7" t="n"/>
      <c r="K69" s="7">
        <f>IF(OR($H69="",$J69=""),"",$H69-$J69)</f>
        <v/>
      </c>
      <c r="L69" s="6" t="n"/>
    </row>
    <row r="70">
      <c r="A70" s="7">
        <f>IF($D70="","",ROW()-2)</f>
        <v/>
      </c>
      <c r="B70" s="7" t="n"/>
      <c r="C70" s="7" t="n"/>
      <c r="D70" s="6" t="n"/>
      <c r="E70" s="7" t="n"/>
      <c r="F70" s="7" t="n"/>
      <c r="G70" s="7" t="n"/>
      <c r="H70" s="7" t="n"/>
      <c r="I70" s="7" t="n"/>
      <c r="J70" s="7" t="n"/>
      <c r="K70" s="7">
        <f>IF(OR($H70="",$J70=""),"",$H70-$J70)</f>
        <v/>
      </c>
      <c r="L70" s="6" t="n"/>
    </row>
    <row r="71">
      <c r="A71" s="7">
        <f>IF($D71="","",ROW()-2)</f>
        <v/>
      </c>
      <c r="B71" s="7" t="n"/>
      <c r="C71" s="7" t="n"/>
      <c r="D71" s="6" t="n"/>
      <c r="E71" s="7" t="n"/>
      <c r="F71" s="7" t="n"/>
      <c r="G71" s="7" t="n"/>
      <c r="H71" s="7" t="n"/>
      <c r="I71" s="7" t="n"/>
      <c r="J71" s="7" t="n"/>
      <c r="K71" s="7">
        <f>IF(OR($H71="",$J71=""),"",$H71-$J71)</f>
        <v/>
      </c>
      <c r="L71" s="6" t="n"/>
    </row>
    <row r="72">
      <c r="A72" s="7">
        <f>IF($D72="","",ROW()-2)</f>
        <v/>
      </c>
      <c r="B72" s="7" t="n"/>
      <c r="C72" s="7" t="n"/>
      <c r="D72" s="6" t="n"/>
      <c r="E72" s="7" t="n"/>
      <c r="F72" s="7" t="n"/>
      <c r="G72" s="7" t="n"/>
      <c r="H72" s="7" t="n"/>
      <c r="I72" s="7" t="n"/>
      <c r="J72" s="7" t="n"/>
      <c r="K72" s="7">
        <f>IF(OR($H72="",$J72=""),"",$H72-$J72)</f>
        <v/>
      </c>
      <c r="L72" s="6" t="n"/>
    </row>
    <row r="73">
      <c r="A73" s="7">
        <f>IF($D73="","",ROW()-2)</f>
        <v/>
      </c>
      <c r="B73" s="7" t="n"/>
      <c r="C73" s="7" t="n"/>
      <c r="D73" s="6" t="n"/>
      <c r="E73" s="7" t="n"/>
      <c r="F73" s="7" t="n"/>
      <c r="G73" s="7" t="n"/>
      <c r="H73" s="7" t="n"/>
      <c r="I73" s="7" t="n"/>
      <c r="J73" s="7" t="n"/>
      <c r="K73" s="7">
        <f>IF(OR($H73="",$J73=""),"",$H73-$J73)</f>
        <v/>
      </c>
      <c r="L73" s="6" t="n"/>
    </row>
    <row r="74">
      <c r="A74" s="7">
        <f>IF($D74="","",ROW()-2)</f>
        <v/>
      </c>
      <c r="B74" s="7" t="n"/>
      <c r="C74" s="7" t="n"/>
      <c r="D74" s="6" t="n"/>
      <c r="E74" s="7" t="n"/>
      <c r="F74" s="7" t="n"/>
      <c r="G74" s="7" t="n"/>
      <c r="H74" s="7" t="n"/>
      <c r="I74" s="7" t="n"/>
      <c r="J74" s="7" t="n"/>
      <c r="K74" s="7">
        <f>IF(OR($H74="",$J74=""),"",$H74-$J74)</f>
        <v/>
      </c>
      <c r="L74" s="6" t="n"/>
    </row>
    <row r="75">
      <c r="A75" s="7">
        <f>IF($D75="","",ROW()-2)</f>
        <v/>
      </c>
      <c r="B75" s="7" t="n"/>
      <c r="C75" s="7" t="n"/>
      <c r="D75" s="6" t="n"/>
      <c r="E75" s="7" t="n"/>
      <c r="F75" s="7" t="n"/>
      <c r="G75" s="7" t="n"/>
      <c r="H75" s="7" t="n"/>
      <c r="I75" s="7" t="n"/>
      <c r="J75" s="7" t="n"/>
      <c r="K75" s="7">
        <f>IF(OR($H75="",$J75=""),"",$H75-$J75)</f>
        <v/>
      </c>
      <c r="L75" s="6" t="n"/>
    </row>
    <row r="76">
      <c r="A76" s="7">
        <f>IF($D76="","",ROW()-2)</f>
        <v/>
      </c>
      <c r="B76" s="7" t="n"/>
      <c r="C76" s="7" t="n"/>
      <c r="D76" s="6" t="n"/>
      <c r="E76" s="7" t="n"/>
      <c r="F76" s="7" t="n"/>
      <c r="G76" s="7" t="n"/>
      <c r="H76" s="7" t="n"/>
      <c r="I76" s="7" t="n"/>
      <c r="J76" s="7" t="n"/>
      <c r="K76" s="7">
        <f>IF(OR($H76="",$J76=""),"",$H76-$J76)</f>
        <v/>
      </c>
      <c r="L76" s="6" t="n"/>
    </row>
    <row r="77">
      <c r="A77" s="7">
        <f>IF($D77="","",ROW()-2)</f>
        <v/>
      </c>
      <c r="B77" s="7" t="n"/>
      <c r="C77" s="7" t="n"/>
      <c r="D77" s="6" t="n"/>
      <c r="E77" s="7" t="n"/>
      <c r="F77" s="7" t="n"/>
      <c r="G77" s="7" t="n"/>
      <c r="H77" s="7" t="n"/>
      <c r="I77" s="7" t="n"/>
      <c r="J77" s="7" t="n"/>
      <c r="K77" s="7">
        <f>IF(OR($H77="",$J77=""),"",$H77-$J77)</f>
        <v/>
      </c>
      <c r="L77" s="6" t="n"/>
    </row>
    <row r="78">
      <c r="A78" s="7">
        <f>IF($D78="","",ROW()-2)</f>
        <v/>
      </c>
      <c r="B78" s="7" t="n"/>
      <c r="C78" s="7" t="n"/>
      <c r="D78" s="6" t="n"/>
      <c r="E78" s="7" t="n"/>
      <c r="F78" s="7" t="n"/>
      <c r="G78" s="7" t="n"/>
      <c r="H78" s="7" t="n"/>
      <c r="I78" s="7" t="n"/>
      <c r="J78" s="7" t="n"/>
      <c r="K78" s="7">
        <f>IF(OR($H78="",$J78=""),"",$H78-$J78)</f>
        <v/>
      </c>
      <c r="L78" s="6" t="n"/>
    </row>
    <row r="79">
      <c r="A79" s="7">
        <f>IF($D79="","",ROW()-2)</f>
        <v/>
      </c>
      <c r="B79" s="7" t="n"/>
      <c r="C79" s="7" t="n"/>
      <c r="D79" s="6" t="n"/>
      <c r="E79" s="7" t="n"/>
      <c r="F79" s="7" t="n"/>
      <c r="G79" s="7" t="n"/>
      <c r="H79" s="7" t="n"/>
      <c r="I79" s="7" t="n"/>
      <c r="J79" s="7" t="n"/>
      <c r="K79" s="7">
        <f>IF(OR($H79="",$J79=""),"",$H79-$J79)</f>
        <v/>
      </c>
      <c r="L79" s="6" t="n"/>
    </row>
    <row r="80">
      <c r="A80" s="7">
        <f>IF($D80="","",ROW()-2)</f>
        <v/>
      </c>
      <c r="B80" s="7" t="n"/>
      <c r="C80" s="7" t="n"/>
      <c r="D80" s="6" t="n"/>
      <c r="E80" s="7" t="n"/>
      <c r="F80" s="7" t="n"/>
      <c r="G80" s="7" t="n"/>
      <c r="H80" s="7" t="n"/>
      <c r="I80" s="7" t="n"/>
      <c r="J80" s="7" t="n"/>
      <c r="K80" s="7">
        <f>IF(OR($H80="",$J80=""),"",$H80-$J80)</f>
        <v/>
      </c>
      <c r="L80" s="6" t="n"/>
    </row>
    <row r="81">
      <c r="A81" s="7">
        <f>IF($D81="","",ROW()-2)</f>
        <v/>
      </c>
      <c r="B81" s="7" t="n"/>
      <c r="C81" s="7" t="n"/>
      <c r="D81" s="6" t="n"/>
      <c r="E81" s="7" t="n"/>
      <c r="F81" s="7" t="n"/>
      <c r="G81" s="7" t="n"/>
      <c r="H81" s="7" t="n"/>
      <c r="I81" s="7" t="n"/>
      <c r="J81" s="7" t="n"/>
      <c r="K81" s="7">
        <f>IF(OR($H81="",$J81=""),"",$H81-$J81)</f>
        <v/>
      </c>
      <c r="L81" s="6" t="n"/>
    </row>
    <row r="82">
      <c r="A82" s="7">
        <f>IF($D82="","",ROW()-2)</f>
        <v/>
      </c>
      <c r="B82" s="7" t="n"/>
      <c r="C82" s="7" t="n"/>
      <c r="D82" s="6" t="n"/>
      <c r="E82" s="7" t="n"/>
      <c r="F82" s="7" t="n"/>
      <c r="G82" s="7" t="n"/>
      <c r="H82" s="7" t="n"/>
      <c r="I82" s="7" t="n"/>
      <c r="J82" s="7" t="n"/>
      <c r="K82" s="7">
        <f>IF(OR($H82="",$J82=""),"",$H82-$J82)</f>
        <v/>
      </c>
      <c r="L82" s="6" t="n"/>
    </row>
    <row r="83">
      <c r="A83" s="7">
        <f>IF($D83="","",ROW()-2)</f>
        <v/>
      </c>
      <c r="B83" s="7" t="n"/>
      <c r="C83" s="7" t="n"/>
      <c r="D83" s="6" t="n"/>
      <c r="E83" s="7" t="n"/>
      <c r="F83" s="7" t="n"/>
      <c r="G83" s="7" t="n"/>
      <c r="H83" s="7" t="n"/>
      <c r="I83" s="7" t="n"/>
      <c r="J83" s="7" t="n"/>
      <c r="K83" s="7">
        <f>IF(OR($H83="",$J83=""),"",$H83-$J83)</f>
        <v/>
      </c>
      <c r="L83" s="6" t="n"/>
    </row>
    <row r="84">
      <c r="A84" s="7">
        <f>IF($D84="","",ROW()-2)</f>
        <v/>
      </c>
      <c r="B84" s="7" t="n"/>
      <c r="C84" s="7" t="n"/>
      <c r="D84" s="6" t="n"/>
      <c r="E84" s="7" t="n"/>
      <c r="F84" s="7" t="n"/>
      <c r="G84" s="7" t="n"/>
      <c r="H84" s="7" t="n"/>
      <c r="I84" s="7" t="n"/>
      <c r="J84" s="7" t="n"/>
      <c r="K84" s="7">
        <f>IF(OR($H84="",$J84=""),"",$H84-$J84)</f>
        <v/>
      </c>
      <c r="L84" s="6" t="n"/>
    </row>
    <row r="85">
      <c r="A85" s="7">
        <f>IF($D85="","",ROW()-2)</f>
        <v/>
      </c>
      <c r="B85" s="7" t="n"/>
      <c r="C85" s="7" t="n"/>
      <c r="D85" s="6" t="n"/>
      <c r="E85" s="7" t="n"/>
      <c r="F85" s="7" t="n"/>
      <c r="G85" s="7" t="n"/>
      <c r="H85" s="7" t="n"/>
      <c r="I85" s="7" t="n"/>
      <c r="J85" s="7" t="n"/>
      <c r="K85" s="7">
        <f>IF(OR($H85="",$J85=""),"",$H85-$J85)</f>
        <v/>
      </c>
      <c r="L85" s="6" t="n"/>
    </row>
    <row r="86">
      <c r="A86" s="7">
        <f>IF($D86="","",ROW()-2)</f>
        <v/>
      </c>
      <c r="B86" s="7" t="n"/>
      <c r="C86" s="7" t="n"/>
      <c r="D86" s="6" t="n"/>
      <c r="E86" s="7" t="n"/>
      <c r="F86" s="7" t="n"/>
      <c r="G86" s="7" t="n"/>
      <c r="H86" s="7" t="n"/>
      <c r="I86" s="7" t="n"/>
      <c r="J86" s="7" t="n"/>
      <c r="K86" s="7">
        <f>IF(OR($H86="",$J86=""),"",$H86-$J86)</f>
        <v/>
      </c>
      <c r="L86" s="6" t="n"/>
    </row>
    <row r="87">
      <c r="A87" s="7">
        <f>IF($D87="","",ROW()-2)</f>
        <v/>
      </c>
      <c r="B87" s="7" t="n"/>
      <c r="C87" s="7" t="n"/>
      <c r="D87" s="6" t="n"/>
      <c r="E87" s="7" t="n"/>
      <c r="F87" s="7" t="n"/>
      <c r="G87" s="7" t="n"/>
      <c r="H87" s="7" t="n"/>
      <c r="I87" s="7" t="n"/>
      <c r="J87" s="7" t="n"/>
      <c r="K87" s="7">
        <f>IF(OR($H87="",$J87=""),"",$H87-$J87)</f>
        <v/>
      </c>
      <c r="L87" s="6" t="n"/>
    </row>
    <row r="88">
      <c r="A88" s="7">
        <f>IF($D88="","",ROW()-2)</f>
        <v/>
      </c>
      <c r="B88" s="7" t="n"/>
      <c r="C88" s="7" t="n"/>
      <c r="D88" s="6" t="n"/>
      <c r="E88" s="7" t="n"/>
      <c r="F88" s="7" t="n"/>
      <c r="G88" s="7" t="n"/>
      <c r="H88" s="7" t="n"/>
      <c r="I88" s="7" t="n"/>
      <c r="J88" s="7" t="n"/>
      <c r="K88" s="7">
        <f>IF(OR($H88="",$J88=""),"",$H88-$J88)</f>
        <v/>
      </c>
      <c r="L88" s="6" t="n"/>
    </row>
    <row r="89">
      <c r="A89" s="7">
        <f>IF($D89="","",ROW()-2)</f>
        <v/>
      </c>
      <c r="B89" s="7" t="n"/>
      <c r="C89" s="7" t="n"/>
      <c r="D89" s="6" t="n"/>
      <c r="E89" s="7" t="n"/>
      <c r="F89" s="7" t="n"/>
      <c r="G89" s="7" t="n"/>
      <c r="H89" s="7" t="n"/>
      <c r="I89" s="7" t="n"/>
      <c r="J89" s="7" t="n"/>
      <c r="K89" s="7">
        <f>IF(OR($H89="",$J89=""),"",$H89-$J89)</f>
        <v/>
      </c>
      <c r="L89" s="6" t="n"/>
    </row>
    <row r="90">
      <c r="A90" s="7">
        <f>IF($D90="","",ROW()-2)</f>
        <v/>
      </c>
      <c r="B90" s="7" t="n"/>
      <c r="C90" s="7" t="n"/>
      <c r="D90" s="6" t="n"/>
      <c r="E90" s="7" t="n"/>
      <c r="F90" s="7" t="n"/>
      <c r="G90" s="7" t="n"/>
      <c r="H90" s="7" t="n"/>
      <c r="I90" s="7" t="n"/>
      <c r="J90" s="7" t="n"/>
      <c r="K90" s="7">
        <f>IF(OR($H90="",$J90=""),"",$H90-$J90)</f>
        <v/>
      </c>
      <c r="L90" s="6" t="n"/>
    </row>
    <row r="91">
      <c r="A91" s="7">
        <f>IF($D91="","",ROW()-2)</f>
        <v/>
      </c>
      <c r="B91" s="7" t="n"/>
      <c r="C91" s="7" t="n"/>
      <c r="D91" s="6" t="n"/>
      <c r="E91" s="7" t="n"/>
      <c r="F91" s="7" t="n"/>
      <c r="G91" s="7" t="n"/>
      <c r="H91" s="7" t="n"/>
      <c r="I91" s="7" t="n"/>
      <c r="J91" s="7" t="n"/>
      <c r="K91" s="7">
        <f>IF(OR($H91="",$J91=""),"",$H91-$J91)</f>
        <v/>
      </c>
      <c r="L91" s="6" t="n"/>
    </row>
    <row r="92">
      <c r="A92" s="7">
        <f>IF($D92="","",ROW()-2)</f>
        <v/>
      </c>
      <c r="B92" s="7" t="n"/>
      <c r="C92" s="7" t="n"/>
      <c r="D92" s="6" t="n"/>
      <c r="E92" s="7" t="n"/>
      <c r="F92" s="7" t="n"/>
      <c r="G92" s="7" t="n"/>
      <c r="H92" s="7" t="n"/>
      <c r="I92" s="7" t="n"/>
      <c r="J92" s="7" t="n"/>
      <c r="K92" s="7">
        <f>IF(OR($H92="",$J92=""),"",$H92-$J92)</f>
        <v/>
      </c>
      <c r="L92" s="6" t="n"/>
    </row>
    <row r="93">
      <c r="A93" s="7">
        <f>IF($D93="","",ROW()-2)</f>
        <v/>
      </c>
      <c r="B93" s="7" t="n"/>
      <c r="C93" s="7" t="n"/>
      <c r="D93" s="6" t="n"/>
      <c r="E93" s="7" t="n"/>
      <c r="F93" s="7" t="n"/>
      <c r="G93" s="7" t="n"/>
      <c r="H93" s="7" t="n"/>
      <c r="I93" s="7" t="n"/>
      <c r="J93" s="7" t="n"/>
      <c r="K93" s="7">
        <f>IF(OR($H93="",$J93=""),"",$H93-$J93)</f>
        <v/>
      </c>
      <c r="L93" s="6" t="n"/>
    </row>
    <row r="94">
      <c r="A94" s="7">
        <f>IF($D94="","",ROW()-2)</f>
        <v/>
      </c>
      <c r="B94" s="7" t="n"/>
      <c r="C94" s="7" t="n"/>
      <c r="D94" s="6" t="n"/>
      <c r="E94" s="7" t="n"/>
      <c r="F94" s="7" t="n"/>
      <c r="G94" s="7" t="n"/>
      <c r="H94" s="7" t="n"/>
      <c r="I94" s="7" t="n"/>
      <c r="J94" s="7" t="n"/>
      <c r="K94" s="7">
        <f>IF(OR($H94="",$J94=""),"",$H94-$J94)</f>
        <v/>
      </c>
      <c r="L94" s="6" t="n"/>
    </row>
    <row r="95">
      <c r="A95" s="7">
        <f>IF($D95="","",ROW()-2)</f>
        <v/>
      </c>
      <c r="B95" s="7" t="n"/>
      <c r="C95" s="7" t="n"/>
      <c r="D95" s="6" t="n"/>
      <c r="E95" s="7" t="n"/>
      <c r="F95" s="7" t="n"/>
      <c r="G95" s="7" t="n"/>
      <c r="H95" s="7" t="n"/>
      <c r="I95" s="7" t="n"/>
      <c r="J95" s="7" t="n"/>
      <c r="K95" s="7">
        <f>IF(OR($H95="",$J95=""),"",$H95-$J95)</f>
        <v/>
      </c>
      <c r="L95" s="6" t="n"/>
    </row>
    <row r="96">
      <c r="A96" s="7">
        <f>IF($D96="","",ROW()-2)</f>
        <v/>
      </c>
      <c r="B96" s="7" t="n"/>
      <c r="C96" s="7" t="n"/>
      <c r="D96" s="6" t="n"/>
      <c r="E96" s="7" t="n"/>
      <c r="F96" s="7" t="n"/>
      <c r="G96" s="7" t="n"/>
      <c r="H96" s="7" t="n"/>
      <c r="I96" s="7" t="n"/>
      <c r="J96" s="7" t="n"/>
      <c r="K96" s="7">
        <f>IF(OR($H96="",$J96=""),"",$H96-$J96)</f>
        <v/>
      </c>
      <c r="L96" s="6" t="n"/>
    </row>
    <row r="97">
      <c r="A97" s="7">
        <f>IF($D97="","",ROW()-2)</f>
        <v/>
      </c>
      <c r="B97" s="7" t="n"/>
      <c r="C97" s="7" t="n"/>
      <c r="D97" s="6" t="n"/>
      <c r="E97" s="7" t="n"/>
      <c r="F97" s="7" t="n"/>
      <c r="G97" s="7" t="n"/>
      <c r="H97" s="7" t="n"/>
      <c r="I97" s="7" t="n"/>
      <c r="J97" s="7" t="n"/>
      <c r="K97" s="7">
        <f>IF(OR($H97="",$J97=""),"",$H97-$J97)</f>
        <v/>
      </c>
      <c r="L97" s="6" t="n"/>
    </row>
    <row r="98">
      <c r="A98" s="7">
        <f>IF($D98="","",ROW()-2)</f>
        <v/>
      </c>
      <c r="B98" s="7" t="n"/>
      <c r="C98" s="7" t="n"/>
      <c r="D98" s="6" t="n"/>
      <c r="E98" s="7" t="n"/>
      <c r="F98" s="7" t="n"/>
      <c r="G98" s="7" t="n"/>
      <c r="H98" s="7" t="n"/>
      <c r="I98" s="7" t="n"/>
      <c r="J98" s="7" t="n"/>
      <c r="K98" s="7">
        <f>IF(OR($H98="",$J98=""),"",$H98-$J98)</f>
        <v/>
      </c>
      <c r="L98" s="6" t="n"/>
    </row>
    <row r="99">
      <c r="A99" s="7">
        <f>IF($D99="","",ROW()-2)</f>
        <v/>
      </c>
      <c r="B99" s="7" t="n"/>
      <c r="C99" s="7" t="n"/>
      <c r="D99" s="6" t="n"/>
      <c r="E99" s="7" t="n"/>
      <c r="F99" s="7" t="n"/>
      <c r="G99" s="7" t="n"/>
      <c r="H99" s="7" t="n"/>
      <c r="I99" s="7" t="n"/>
      <c r="J99" s="7" t="n"/>
      <c r="K99" s="7">
        <f>IF(OR($H99="",$J99=""),"",$H99-$J99)</f>
        <v/>
      </c>
      <c r="L99" s="6" t="n"/>
    </row>
    <row r="100">
      <c r="A100" s="7">
        <f>IF($D100="","",ROW()-2)</f>
        <v/>
      </c>
      <c r="B100" s="7" t="n"/>
      <c r="C100" s="7" t="n"/>
      <c r="D100" s="6" t="n"/>
      <c r="E100" s="7" t="n"/>
      <c r="F100" s="7" t="n"/>
      <c r="G100" s="7" t="n"/>
      <c r="H100" s="7" t="n"/>
      <c r="I100" s="7" t="n"/>
      <c r="J100" s="7" t="n"/>
      <c r="K100" s="7">
        <f>IF(OR($H100="",$J100=""),"",$H100-$J100)</f>
        <v/>
      </c>
      <c r="L100" s="6" t="n"/>
    </row>
    <row r="101">
      <c r="A101" s="7">
        <f>IF($D101="","",ROW()-2)</f>
        <v/>
      </c>
      <c r="B101" s="7" t="n"/>
      <c r="C101" s="7" t="n"/>
      <c r="D101" s="6" t="n"/>
      <c r="E101" s="7" t="n"/>
      <c r="F101" s="7" t="n"/>
      <c r="G101" s="7" t="n"/>
      <c r="H101" s="7" t="n"/>
      <c r="I101" s="7" t="n"/>
      <c r="J101" s="7" t="n"/>
      <c r="K101" s="7">
        <f>IF(OR($H101="",$J101=""),"",$H101-$J101)</f>
        <v/>
      </c>
      <c r="L101" s="6" t="n"/>
    </row>
    <row r="102">
      <c r="A102" s="7">
        <f>IF($D102="","",ROW()-2)</f>
        <v/>
      </c>
      <c r="B102" s="7" t="n"/>
      <c r="C102" s="7" t="n"/>
      <c r="D102" s="6" t="n"/>
      <c r="E102" s="7" t="n"/>
      <c r="F102" s="7" t="n"/>
      <c r="G102" s="7" t="n"/>
      <c r="H102" s="7" t="n"/>
      <c r="I102" s="7" t="n"/>
      <c r="J102" s="7" t="n"/>
      <c r="K102" s="7">
        <f>IF(OR($H102="",$J102=""),"",$H102-$J102)</f>
        <v/>
      </c>
      <c r="L102" s="6" t="n"/>
    </row>
    <row r="103">
      <c r="A103" s="7">
        <f>IF($D103="","",ROW()-2)</f>
        <v/>
      </c>
      <c r="B103" s="7" t="n"/>
      <c r="C103" s="7" t="n"/>
      <c r="D103" s="6" t="n"/>
      <c r="E103" s="7" t="n"/>
      <c r="F103" s="7" t="n"/>
      <c r="G103" s="7" t="n"/>
      <c r="H103" s="7" t="n"/>
      <c r="I103" s="7" t="n"/>
      <c r="J103" s="7" t="n"/>
      <c r="K103" s="7">
        <f>IF(OR($H103="",$J103=""),"",$H103-$J103)</f>
        <v/>
      </c>
      <c r="L103" s="6" t="n"/>
    </row>
    <row r="104">
      <c r="A104" s="7">
        <f>IF($D104="","",ROW()-2)</f>
        <v/>
      </c>
      <c r="B104" s="7" t="n"/>
      <c r="C104" s="7" t="n"/>
      <c r="D104" s="6" t="n"/>
      <c r="E104" s="7" t="n"/>
      <c r="F104" s="7" t="n"/>
      <c r="G104" s="7" t="n"/>
      <c r="H104" s="7" t="n"/>
      <c r="I104" s="7" t="n"/>
      <c r="J104" s="7" t="n"/>
      <c r="K104" s="7">
        <f>IF(OR($H104="",$J104=""),"",$H104-$J104)</f>
        <v/>
      </c>
      <c r="L104" s="6" t="n"/>
    </row>
    <row r="105">
      <c r="A105" s="7">
        <f>IF($D105="","",ROW()-2)</f>
        <v/>
      </c>
      <c r="B105" s="7" t="n"/>
      <c r="C105" s="7" t="n"/>
      <c r="D105" s="6" t="n"/>
      <c r="E105" s="7" t="n"/>
      <c r="F105" s="7" t="n"/>
      <c r="G105" s="7" t="n"/>
      <c r="H105" s="7" t="n"/>
      <c r="I105" s="7" t="n"/>
      <c r="J105" s="7" t="n"/>
      <c r="K105" s="7">
        <f>IF(OR($H105="",$J105=""),"",$H105-$J105)</f>
        <v/>
      </c>
      <c r="L105" s="6" t="n"/>
    </row>
    <row r="106">
      <c r="A106" s="7">
        <f>IF($D106="","",ROW()-2)</f>
        <v/>
      </c>
      <c r="B106" s="7" t="n"/>
      <c r="C106" s="7" t="n"/>
      <c r="D106" s="6" t="n"/>
      <c r="E106" s="7" t="n"/>
      <c r="F106" s="7" t="n"/>
      <c r="G106" s="7" t="n"/>
      <c r="H106" s="7" t="n"/>
      <c r="I106" s="7" t="n"/>
      <c r="J106" s="7" t="n"/>
      <c r="K106" s="7">
        <f>IF(OR($H106="",$J106=""),"",$H106-$J106)</f>
        <v/>
      </c>
      <c r="L106" s="6" t="n"/>
    </row>
    <row r="107">
      <c r="A107" s="7">
        <f>IF($D107="","",ROW()-2)</f>
        <v/>
      </c>
      <c r="B107" s="7" t="n"/>
      <c r="C107" s="7" t="n"/>
      <c r="D107" s="6" t="n"/>
      <c r="E107" s="7" t="n"/>
      <c r="F107" s="7" t="n"/>
      <c r="G107" s="7" t="n"/>
      <c r="H107" s="7" t="n"/>
      <c r="I107" s="7" t="n"/>
      <c r="J107" s="7" t="n"/>
      <c r="K107" s="7">
        <f>IF(OR($H107="",$J107=""),"",$H107-$J107)</f>
        <v/>
      </c>
      <c r="L107" s="6" t="n"/>
    </row>
    <row r="108">
      <c r="A108" s="7">
        <f>IF($D108="","",ROW()-2)</f>
        <v/>
      </c>
      <c r="B108" s="7" t="n"/>
      <c r="C108" s="7" t="n"/>
      <c r="D108" s="6" t="n"/>
      <c r="E108" s="7" t="n"/>
      <c r="F108" s="7" t="n"/>
      <c r="G108" s="7" t="n"/>
      <c r="H108" s="7" t="n"/>
      <c r="I108" s="7" t="n"/>
      <c r="J108" s="7" t="n"/>
      <c r="K108" s="7">
        <f>IF(OR($H108="",$J108=""),"",$H108-$J108)</f>
        <v/>
      </c>
      <c r="L108" s="6" t="n"/>
    </row>
    <row r="109">
      <c r="A109" s="7">
        <f>IF($D109="","",ROW()-2)</f>
        <v/>
      </c>
      <c r="B109" s="7" t="n"/>
      <c r="C109" s="7" t="n"/>
      <c r="D109" s="6" t="n"/>
      <c r="E109" s="7" t="n"/>
      <c r="F109" s="7" t="n"/>
      <c r="G109" s="7" t="n"/>
      <c r="H109" s="7" t="n"/>
      <c r="I109" s="7" t="n"/>
      <c r="J109" s="7" t="n"/>
      <c r="K109" s="7">
        <f>IF(OR($H109="",$J109=""),"",$H109-$J109)</f>
        <v/>
      </c>
      <c r="L109" s="6" t="n"/>
    </row>
    <row r="110">
      <c r="A110" s="7">
        <f>IF($D110="","",ROW()-2)</f>
        <v/>
      </c>
      <c r="B110" s="7" t="n"/>
      <c r="C110" s="7" t="n"/>
      <c r="D110" s="6" t="n"/>
      <c r="E110" s="7" t="n"/>
      <c r="F110" s="7" t="n"/>
      <c r="G110" s="7" t="n"/>
      <c r="H110" s="7" t="n"/>
      <c r="I110" s="7" t="n"/>
      <c r="J110" s="7" t="n"/>
      <c r="K110" s="7">
        <f>IF(OR($H110="",$J110=""),"",$H110-$J110)</f>
        <v/>
      </c>
      <c r="L110" s="6" t="n"/>
    </row>
    <row r="111">
      <c r="A111" s="7">
        <f>IF($D111="","",ROW()-2)</f>
        <v/>
      </c>
      <c r="B111" s="7" t="n"/>
      <c r="C111" s="7" t="n"/>
      <c r="D111" s="6" t="n"/>
      <c r="E111" s="7" t="n"/>
      <c r="F111" s="7" t="n"/>
      <c r="G111" s="7" t="n"/>
      <c r="H111" s="7" t="n"/>
      <c r="I111" s="7" t="n"/>
      <c r="J111" s="7" t="n"/>
      <c r="K111" s="7">
        <f>IF(OR($H111="",$J111=""),"",$H111-$J111)</f>
        <v/>
      </c>
      <c r="L111" s="6" t="n"/>
    </row>
    <row r="112">
      <c r="A112" s="7">
        <f>IF($D112="","",ROW()-2)</f>
        <v/>
      </c>
      <c r="B112" s="7" t="n"/>
      <c r="C112" s="7" t="n"/>
      <c r="D112" s="6" t="n"/>
      <c r="E112" s="7" t="n"/>
      <c r="F112" s="7" t="n"/>
      <c r="G112" s="7" t="n"/>
      <c r="H112" s="7" t="n"/>
      <c r="I112" s="7" t="n"/>
      <c r="J112" s="7" t="n"/>
      <c r="K112" s="7">
        <f>IF(OR($H112="",$J112=""),"",$H112-$J112)</f>
        <v/>
      </c>
      <c r="L112" s="6" t="n"/>
    </row>
    <row r="113">
      <c r="A113" s="7">
        <f>IF($D113="","",ROW()-2)</f>
        <v/>
      </c>
      <c r="B113" s="7" t="n"/>
      <c r="C113" s="7" t="n"/>
      <c r="D113" s="6" t="n"/>
      <c r="E113" s="7" t="n"/>
      <c r="F113" s="7" t="n"/>
      <c r="G113" s="7" t="n"/>
      <c r="H113" s="7" t="n"/>
      <c r="I113" s="7" t="n"/>
      <c r="J113" s="7" t="n"/>
      <c r="K113" s="7">
        <f>IF(OR($H113="",$J113=""),"",$H113-$J113)</f>
        <v/>
      </c>
      <c r="L113" s="6" t="n"/>
    </row>
    <row r="114">
      <c r="A114" s="7">
        <f>IF($D114="","",ROW()-2)</f>
        <v/>
      </c>
      <c r="B114" s="7" t="n"/>
      <c r="C114" s="7" t="n"/>
      <c r="D114" s="6" t="n"/>
      <c r="E114" s="7" t="n"/>
      <c r="F114" s="7" t="n"/>
      <c r="G114" s="7" t="n"/>
      <c r="H114" s="7" t="n"/>
      <c r="I114" s="7" t="n"/>
      <c r="J114" s="7" t="n"/>
      <c r="K114" s="7">
        <f>IF(OR($H114="",$J114=""),"",$H114-$J114)</f>
        <v/>
      </c>
      <c r="L114" s="6" t="n"/>
    </row>
    <row r="115">
      <c r="A115" s="7">
        <f>IF($D115="","",ROW()-2)</f>
        <v/>
      </c>
      <c r="B115" s="7" t="n"/>
      <c r="C115" s="7" t="n"/>
      <c r="D115" s="6" t="n"/>
      <c r="E115" s="7" t="n"/>
      <c r="F115" s="7" t="n"/>
      <c r="G115" s="7" t="n"/>
      <c r="H115" s="7" t="n"/>
      <c r="I115" s="7" t="n"/>
      <c r="J115" s="7" t="n"/>
      <c r="K115" s="7">
        <f>IF(OR($H115="",$J115=""),"",$H115-$J115)</f>
        <v/>
      </c>
      <c r="L115" s="6" t="n"/>
    </row>
    <row r="116">
      <c r="A116" s="7">
        <f>IF($D116="","",ROW()-2)</f>
        <v/>
      </c>
      <c r="B116" s="7" t="n"/>
      <c r="C116" s="7" t="n"/>
      <c r="D116" s="6" t="n"/>
      <c r="E116" s="7" t="n"/>
      <c r="F116" s="7" t="n"/>
      <c r="G116" s="7" t="n"/>
      <c r="H116" s="7" t="n"/>
      <c r="I116" s="7" t="n"/>
      <c r="J116" s="7" t="n"/>
      <c r="K116" s="7">
        <f>IF(OR($H116="",$J116=""),"",$H116-$J116)</f>
        <v/>
      </c>
      <c r="L116" s="6" t="n"/>
    </row>
    <row r="117">
      <c r="A117" s="7">
        <f>IF($D117="","",ROW()-2)</f>
        <v/>
      </c>
      <c r="B117" s="7" t="n"/>
      <c r="C117" s="7" t="n"/>
      <c r="D117" s="6" t="n"/>
      <c r="E117" s="7" t="n"/>
      <c r="F117" s="7" t="n"/>
      <c r="G117" s="7" t="n"/>
      <c r="H117" s="7" t="n"/>
      <c r="I117" s="7" t="n"/>
      <c r="J117" s="7" t="n"/>
      <c r="K117" s="7">
        <f>IF(OR($H117="",$J117=""),"",$H117-$J117)</f>
        <v/>
      </c>
      <c r="L117" s="6" t="n"/>
    </row>
    <row r="118">
      <c r="A118" s="7">
        <f>IF($D118="","",ROW()-2)</f>
        <v/>
      </c>
      <c r="B118" s="7" t="n"/>
      <c r="C118" s="7" t="n"/>
      <c r="D118" s="6" t="n"/>
      <c r="E118" s="7" t="n"/>
      <c r="F118" s="7" t="n"/>
      <c r="G118" s="7" t="n"/>
      <c r="H118" s="7" t="n"/>
      <c r="I118" s="7" t="n"/>
      <c r="J118" s="7" t="n"/>
      <c r="K118" s="7">
        <f>IF(OR($H118="",$J118=""),"",$H118-$J118)</f>
        <v/>
      </c>
      <c r="L118" s="6" t="n"/>
    </row>
    <row r="119">
      <c r="A119" s="7">
        <f>IF($D119="","",ROW()-2)</f>
        <v/>
      </c>
      <c r="B119" s="7" t="n"/>
      <c r="C119" s="7" t="n"/>
      <c r="D119" s="6" t="n"/>
      <c r="E119" s="7" t="n"/>
      <c r="F119" s="7" t="n"/>
      <c r="G119" s="7" t="n"/>
      <c r="H119" s="7" t="n"/>
      <c r="I119" s="7" t="n"/>
      <c r="J119" s="7" t="n"/>
      <c r="K119" s="7">
        <f>IF(OR($H119="",$J119=""),"",$H119-$J119)</f>
        <v/>
      </c>
      <c r="L119" s="6" t="n"/>
    </row>
    <row r="120">
      <c r="A120" s="7">
        <f>IF($D120="","",ROW()-2)</f>
        <v/>
      </c>
      <c r="B120" s="7" t="n"/>
      <c r="C120" s="7" t="n"/>
      <c r="D120" s="6" t="n"/>
      <c r="E120" s="7" t="n"/>
      <c r="F120" s="7" t="n"/>
      <c r="G120" s="7" t="n"/>
      <c r="H120" s="7" t="n"/>
      <c r="I120" s="7" t="n"/>
      <c r="J120" s="7" t="n"/>
      <c r="K120" s="7">
        <f>IF(OR($H120="",$J120=""),"",$H120-$J120)</f>
        <v/>
      </c>
      <c r="L120" s="6" t="n"/>
    </row>
    <row r="121">
      <c r="A121" s="7">
        <f>IF($D121="","",ROW()-2)</f>
        <v/>
      </c>
      <c r="B121" s="7" t="n"/>
      <c r="C121" s="7" t="n"/>
      <c r="D121" s="6" t="n"/>
      <c r="E121" s="7" t="n"/>
      <c r="F121" s="7" t="n"/>
      <c r="G121" s="7" t="n"/>
      <c r="H121" s="7" t="n"/>
      <c r="I121" s="7" t="n"/>
      <c r="J121" s="7" t="n"/>
      <c r="K121" s="7">
        <f>IF(OR($H121="",$J121=""),"",$H121-$J121)</f>
        <v/>
      </c>
      <c r="L121" s="6" t="n"/>
    </row>
    <row r="122">
      <c r="A122" s="7">
        <f>IF($D122="","",ROW()-2)</f>
        <v/>
      </c>
      <c r="B122" s="7" t="n"/>
      <c r="C122" s="7" t="n"/>
      <c r="D122" s="6" t="n"/>
      <c r="E122" s="7" t="n"/>
      <c r="F122" s="7" t="n"/>
      <c r="G122" s="7" t="n"/>
      <c r="H122" s="7" t="n"/>
      <c r="I122" s="7" t="n"/>
      <c r="J122" s="7" t="n"/>
      <c r="K122" s="7">
        <f>IF(OR($H122="",$J122=""),"",$H122-$J122)</f>
        <v/>
      </c>
      <c r="L122" s="6" t="n"/>
    </row>
    <row r="123">
      <c r="A123" s="7">
        <f>IF($D123="","",ROW()-2)</f>
        <v/>
      </c>
      <c r="B123" s="7" t="n"/>
      <c r="C123" s="7" t="n"/>
      <c r="D123" s="6" t="n"/>
      <c r="E123" s="7" t="n"/>
      <c r="F123" s="7" t="n"/>
      <c r="G123" s="7" t="n"/>
      <c r="H123" s="7" t="n"/>
      <c r="I123" s="7" t="n"/>
      <c r="J123" s="7" t="n"/>
      <c r="K123" s="7">
        <f>IF(OR($H123="",$J123=""),"",$H123-$J123)</f>
        <v/>
      </c>
      <c r="L123" s="6" t="n"/>
    </row>
    <row r="124">
      <c r="A124" s="7">
        <f>IF($D124="","",ROW()-2)</f>
        <v/>
      </c>
      <c r="B124" s="7" t="n"/>
      <c r="C124" s="7" t="n"/>
      <c r="D124" s="6" t="n"/>
      <c r="E124" s="7" t="n"/>
      <c r="F124" s="7" t="n"/>
      <c r="G124" s="7" t="n"/>
      <c r="H124" s="7" t="n"/>
      <c r="I124" s="7" t="n"/>
      <c r="J124" s="7" t="n"/>
      <c r="K124" s="7">
        <f>IF(OR($H124="",$J124=""),"",$H124-$J124)</f>
        <v/>
      </c>
      <c r="L124" s="6" t="n"/>
    </row>
    <row r="125">
      <c r="A125" s="7">
        <f>IF($D125="","",ROW()-2)</f>
        <v/>
      </c>
      <c r="B125" s="7" t="n"/>
      <c r="C125" s="7" t="n"/>
      <c r="D125" s="6" t="n"/>
      <c r="E125" s="7" t="n"/>
      <c r="F125" s="7" t="n"/>
      <c r="G125" s="7" t="n"/>
      <c r="H125" s="7" t="n"/>
      <c r="I125" s="7" t="n"/>
      <c r="J125" s="7" t="n"/>
      <c r="K125" s="7">
        <f>IF(OR($H125="",$J125=""),"",$H125-$J125)</f>
        <v/>
      </c>
      <c r="L125" s="6" t="n"/>
    </row>
    <row r="126">
      <c r="A126" s="7">
        <f>IF($D126="","",ROW()-2)</f>
        <v/>
      </c>
      <c r="B126" s="7" t="n"/>
      <c r="C126" s="7" t="n"/>
      <c r="D126" s="6" t="n"/>
      <c r="E126" s="7" t="n"/>
      <c r="F126" s="7" t="n"/>
      <c r="G126" s="7" t="n"/>
      <c r="H126" s="7" t="n"/>
      <c r="I126" s="7" t="n"/>
      <c r="J126" s="7" t="n"/>
      <c r="K126" s="7">
        <f>IF(OR($H126="",$J126=""),"",$H126-$J126)</f>
        <v/>
      </c>
      <c r="L126" s="6" t="n"/>
    </row>
    <row r="127">
      <c r="A127" s="7">
        <f>IF($D127="","",ROW()-2)</f>
        <v/>
      </c>
      <c r="B127" s="7" t="n"/>
      <c r="C127" s="7" t="n"/>
      <c r="D127" s="6" t="n"/>
      <c r="E127" s="7" t="n"/>
      <c r="F127" s="7" t="n"/>
      <c r="G127" s="7" t="n"/>
      <c r="H127" s="7" t="n"/>
      <c r="I127" s="7" t="n"/>
      <c r="J127" s="7" t="n"/>
      <c r="K127" s="7">
        <f>IF(OR($H127="",$J127=""),"",$H127-$J127)</f>
        <v/>
      </c>
      <c r="L127" s="6" t="n"/>
    </row>
    <row r="128">
      <c r="A128" s="7">
        <f>IF($D128="","",ROW()-2)</f>
        <v/>
      </c>
      <c r="B128" s="7" t="n"/>
      <c r="C128" s="7" t="n"/>
      <c r="D128" s="6" t="n"/>
      <c r="E128" s="7" t="n"/>
      <c r="F128" s="7" t="n"/>
      <c r="G128" s="7" t="n"/>
      <c r="H128" s="7" t="n"/>
      <c r="I128" s="7" t="n"/>
      <c r="J128" s="7" t="n"/>
      <c r="K128" s="7">
        <f>IF(OR($H128="",$J128=""),"",$H128-$J128)</f>
        <v/>
      </c>
      <c r="L128" s="6" t="n"/>
    </row>
    <row r="129">
      <c r="A129" s="7">
        <f>IF($D129="","",ROW()-2)</f>
        <v/>
      </c>
      <c r="B129" s="7" t="n"/>
      <c r="C129" s="7" t="n"/>
      <c r="D129" s="6" t="n"/>
      <c r="E129" s="7" t="n"/>
      <c r="F129" s="7" t="n"/>
      <c r="G129" s="7" t="n"/>
      <c r="H129" s="7" t="n"/>
      <c r="I129" s="7" t="n"/>
      <c r="J129" s="7" t="n"/>
      <c r="K129" s="7">
        <f>IF(OR($H129="",$J129=""),"",$H129-$J129)</f>
        <v/>
      </c>
      <c r="L129" s="6" t="n"/>
    </row>
    <row r="130">
      <c r="A130" s="7">
        <f>IF($D130="","",ROW()-2)</f>
        <v/>
      </c>
      <c r="B130" s="7" t="n"/>
      <c r="C130" s="7" t="n"/>
      <c r="D130" s="6" t="n"/>
      <c r="E130" s="7" t="n"/>
      <c r="F130" s="7" t="n"/>
      <c r="G130" s="7" t="n"/>
      <c r="H130" s="7" t="n"/>
      <c r="I130" s="7" t="n"/>
      <c r="J130" s="7" t="n"/>
      <c r="K130" s="7">
        <f>IF(OR($H130="",$J130=""),"",$H130-$J130)</f>
        <v/>
      </c>
      <c r="L130" s="6" t="n"/>
    </row>
    <row r="131">
      <c r="A131" s="7">
        <f>IF($D131="","",ROW()-2)</f>
        <v/>
      </c>
      <c r="B131" s="7" t="n"/>
      <c r="C131" s="7" t="n"/>
      <c r="D131" s="6" t="n"/>
      <c r="E131" s="7" t="n"/>
      <c r="F131" s="7" t="n"/>
      <c r="G131" s="7" t="n"/>
      <c r="H131" s="7" t="n"/>
      <c r="I131" s="7" t="n"/>
      <c r="J131" s="7" t="n"/>
      <c r="K131" s="7">
        <f>IF(OR($H131="",$J131=""),"",$H131-$J131)</f>
        <v/>
      </c>
      <c r="L131" s="6" t="n"/>
    </row>
    <row r="132">
      <c r="A132" s="7">
        <f>IF($D132="","",ROW()-2)</f>
        <v/>
      </c>
      <c r="B132" s="7" t="n"/>
      <c r="C132" s="7" t="n"/>
      <c r="D132" s="6" t="n"/>
      <c r="E132" s="7" t="n"/>
      <c r="F132" s="7" t="n"/>
      <c r="G132" s="7" t="n"/>
      <c r="H132" s="7" t="n"/>
      <c r="I132" s="7" t="n"/>
      <c r="J132" s="7" t="n"/>
      <c r="K132" s="7">
        <f>IF(OR($H132="",$J132=""),"",$H132-$J132)</f>
        <v/>
      </c>
      <c r="L132" s="6" t="n"/>
    </row>
    <row r="133">
      <c r="A133" s="7">
        <f>IF($D133="","",ROW()-2)</f>
        <v/>
      </c>
      <c r="B133" s="7" t="n"/>
      <c r="C133" s="7" t="n"/>
      <c r="D133" s="6" t="n"/>
      <c r="E133" s="7" t="n"/>
      <c r="F133" s="7" t="n"/>
      <c r="G133" s="7" t="n"/>
      <c r="H133" s="7" t="n"/>
      <c r="I133" s="7" t="n"/>
      <c r="J133" s="7" t="n"/>
      <c r="K133" s="7">
        <f>IF(OR($H133="",$J133=""),"",$H133-$J133)</f>
        <v/>
      </c>
      <c r="L133" s="6" t="n"/>
    </row>
    <row r="134">
      <c r="A134" s="7">
        <f>IF($D134="","",ROW()-2)</f>
        <v/>
      </c>
      <c r="B134" s="7" t="n"/>
      <c r="C134" s="7" t="n"/>
      <c r="D134" s="6" t="n"/>
      <c r="E134" s="7" t="n"/>
      <c r="F134" s="7" t="n"/>
      <c r="G134" s="7" t="n"/>
      <c r="H134" s="7" t="n"/>
      <c r="I134" s="7" t="n"/>
      <c r="J134" s="7" t="n"/>
      <c r="K134" s="7">
        <f>IF(OR($H134="",$J134=""),"",$H134-$J134)</f>
        <v/>
      </c>
      <c r="L134" s="6" t="n"/>
    </row>
    <row r="135">
      <c r="A135" s="7">
        <f>IF($D135="","",ROW()-2)</f>
        <v/>
      </c>
      <c r="B135" s="7" t="n"/>
      <c r="C135" s="7" t="n"/>
      <c r="D135" s="6" t="n"/>
      <c r="E135" s="7" t="n"/>
      <c r="F135" s="7" t="n"/>
      <c r="G135" s="7" t="n"/>
      <c r="H135" s="7" t="n"/>
      <c r="I135" s="7" t="n"/>
      <c r="J135" s="7" t="n"/>
      <c r="K135" s="7">
        <f>IF(OR($H135="",$J135=""),"",$H135-$J135)</f>
        <v/>
      </c>
      <c r="L135" s="6" t="n"/>
    </row>
    <row r="136">
      <c r="A136" s="7">
        <f>IF($D136="","",ROW()-2)</f>
        <v/>
      </c>
      <c r="B136" s="7" t="n"/>
      <c r="C136" s="7" t="n"/>
      <c r="D136" s="6" t="n"/>
      <c r="E136" s="7" t="n"/>
      <c r="F136" s="7" t="n"/>
      <c r="G136" s="7" t="n"/>
      <c r="H136" s="7" t="n"/>
      <c r="I136" s="7" t="n"/>
      <c r="J136" s="7" t="n"/>
      <c r="K136" s="7">
        <f>IF(OR($H136="",$J136=""),"",$H136-$J136)</f>
        <v/>
      </c>
      <c r="L136" s="6" t="n"/>
    </row>
    <row r="137">
      <c r="A137" s="7">
        <f>IF($D137="","",ROW()-2)</f>
        <v/>
      </c>
      <c r="B137" s="7" t="n"/>
      <c r="C137" s="7" t="n"/>
      <c r="D137" s="6" t="n"/>
      <c r="E137" s="7" t="n"/>
      <c r="F137" s="7" t="n"/>
      <c r="G137" s="7" t="n"/>
      <c r="H137" s="7" t="n"/>
      <c r="I137" s="7" t="n"/>
      <c r="J137" s="7" t="n"/>
      <c r="K137" s="7">
        <f>IF(OR($H137="",$J137=""),"",$H137-$J137)</f>
        <v/>
      </c>
      <c r="L137" s="6" t="n"/>
    </row>
    <row r="138">
      <c r="A138" s="7">
        <f>IF($D138="","",ROW()-2)</f>
        <v/>
      </c>
      <c r="B138" s="7" t="n"/>
      <c r="C138" s="7" t="n"/>
      <c r="D138" s="6" t="n"/>
      <c r="E138" s="7" t="n"/>
      <c r="F138" s="7" t="n"/>
      <c r="G138" s="7" t="n"/>
      <c r="H138" s="7" t="n"/>
      <c r="I138" s="7" t="n"/>
      <c r="J138" s="7" t="n"/>
      <c r="K138" s="7">
        <f>IF(OR($H138="",$J138=""),"",$H138-$J138)</f>
        <v/>
      </c>
      <c r="L138" s="6" t="n"/>
    </row>
    <row r="139">
      <c r="A139" s="7">
        <f>IF($D139="","",ROW()-2)</f>
        <v/>
      </c>
      <c r="B139" s="7" t="n"/>
      <c r="C139" s="7" t="n"/>
      <c r="D139" s="6" t="n"/>
      <c r="E139" s="7" t="n"/>
      <c r="F139" s="7" t="n"/>
      <c r="G139" s="7" t="n"/>
      <c r="H139" s="7" t="n"/>
      <c r="I139" s="7" t="n"/>
      <c r="J139" s="7" t="n"/>
      <c r="K139" s="7">
        <f>IF(OR($H139="",$J139=""),"",$H139-$J139)</f>
        <v/>
      </c>
      <c r="L139" s="6" t="n"/>
    </row>
    <row r="140">
      <c r="A140" s="7">
        <f>IF($D140="","",ROW()-2)</f>
        <v/>
      </c>
      <c r="B140" s="7" t="n"/>
      <c r="C140" s="7" t="n"/>
      <c r="D140" s="6" t="n"/>
      <c r="E140" s="7" t="n"/>
      <c r="F140" s="7" t="n"/>
      <c r="G140" s="7" t="n"/>
      <c r="H140" s="7" t="n"/>
      <c r="I140" s="7" t="n"/>
      <c r="J140" s="7" t="n"/>
      <c r="K140" s="7">
        <f>IF(OR($H140="",$J140=""),"",$H140-$J140)</f>
        <v/>
      </c>
      <c r="L140" s="6" t="n"/>
    </row>
    <row r="141">
      <c r="A141" s="7">
        <f>IF($D141="","",ROW()-2)</f>
        <v/>
      </c>
      <c r="B141" s="7" t="n"/>
      <c r="C141" s="7" t="n"/>
      <c r="D141" s="6" t="n"/>
      <c r="E141" s="7" t="n"/>
      <c r="F141" s="7" t="n"/>
      <c r="G141" s="7" t="n"/>
      <c r="H141" s="7" t="n"/>
      <c r="I141" s="7" t="n"/>
      <c r="J141" s="7" t="n"/>
      <c r="K141" s="7">
        <f>IF(OR($H141="",$J141=""),"",$H141-$J141)</f>
        <v/>
      </c>
      <c r="L141" s="6" t="n"/>
    </row>
    <row r="142">
      <c r="A142" s="7">
        <f>IF($D142="","",ROW()-2)</f>
        <v/>
      </c>
      <c r="B142" s="7" t="n"/>
      <c r="C142" s="7" t="n"/>
      <c r="D142" s="6" t="n"/>
      <c r="E142" s="7" t="n"/>
      <c r="F142" s="7" t="n"/>
      <c r="G142" s="7" t="n"/>
      <c r="H142" s="7" t="n"/>
      <c r="I142" s="7" t="n"/>
      <c r="J142" s="7" t="n"/>
      <c r="K142" s="7">
        <f>IF(OR($H142="",$J142=""),"",$H142-$J142)</f>
        <v/>
      </c>
      <c r="L142" s="6" t="n"/>
    </row>
    <row r="143">
      <c r="A143" s="7">
        <f>IF($D143="","",ROW()-2)</f>
        <v/>
      </c>
      <c r="B143" s="7" t="n"/>
      <c r="C143" s="7" t="n"/>
      <c r="D143" s="6" t="n"/>
      <c r="E143" s="7" t="n"/>
      <c r="F143" s="7" t="n"/>
      <c r="G143" s="7" t="n"/>
      <c r="H143" s="7" t="n"/>
      <c r="I143" s="7" t="n"/>
      <c r="J143" s="7" t="n"/>
      <c r="K143" s="7">
        <f>IF(OR($H143="",$J143=""),"",$H143-$J143)</f>
        <v/>
      </c>
      <c r="L143" s="6" t="n"/>
    </row>
    <row r="144">
      <c r="A144" s="7">
        <f>IF($D144="","",ROW()-2)</f>
        <v/>
      </c>
      <c r="B144" s="7" t="n"/>
      <c r="C144" s="7" t="n"/>
      <c r="D144" s="6" t="n"/>
      <c r="E144" s="7" t="n"/>
      <c r="F144" s="7" t="n"/>
      <c r="G144" s="7" t="n"/>
      <c r="H144" s="7" t="n"/>
      <c r="I144" s="7" t="n"/>
      <c r="J144" s="7" t="n"/>
      <c r="K144" s="7">
        <f>IF(OR($H144="",$J144=""),"",$H144-$J144)</f>
        <v/>
      </c>
      <c r="L144" s="6" t="n"/>
    </row>
    <row r="145">
      <c r="A145" s="7">
        <f>IF($D145="","",ROW()-2)</f>
        <v/>
      </c>
      <c r="B145" s="7" t="n"/>
      <c r="C145" s="7" t="n"/>
      <c r="D145" s="6" t="n"/>
      <c r="E145" s="7" t="n"/>
      <c r="F145" s="7" t="n"/>
      <c r="G145" s="7" t="n"/>
      <c r="H145" s="7" t="n"/>
      <c r="I145" s="7" t="n"/>
      <c r="J145" s="7" t="n"/>
      <c r="K145" s="7">
        <f>IF(OR($H145="",$J145=""),"",$H145-$J145)</f>
        <v/>
      </c>
      <c r="L145" s="6" t="n"/>
    </row>
    <row r="146">
      <c r="A146" s="7">
        <f>IF($D146="","",ROW()-2)</f>
        <v/>
      </c>
      <c r="B146" s="7" t="n"/>
      <c r="C146" s="7" t="n"/>
      <c r="D146" s="6" t="n"/>
      <c r="E146" s="7" t="n"/>
      <c r="F146" s="7" t="n"/>
      <c r="G146" s="7" t="n"/>
      <c r="H146" s="7" t="n"/>
      <c r="I146" s="7" t="n"/>
      <c r="J146" s="7" t="n"/>
      <c r="K146" s="7">
        <f>IF(OR($H146="",$J146=""),"",$H146-$J146)</f>
        <v/>
      </c>
      <c r="L146" s="6" t="n"/>
    </row>
    <row r="147">
      <c r="A147" s="7">
        <f>IF($D147="","",ROW()-2)</f>
        <v/>
      </c>
      <c r="B147" s="7" t="n"/>
      <c r="C147" s="7" t="n"/>
      <c r="D147" s="6" t="n"/>
      <c r="E147" s="7" t="n"/>
      <c r="F147" s="7" t="n"/>
      <c r="G147" s="7" t="n"/>
      <c r="H147" s="7" t="n"/>
      <c r="I147" s="7" t="n"/>
      <c r="J147" s="7" t="n"/>
      <c r="K147" s="7">
        <f>IF(OR($H147="",$J147=""),"",$H147-$J147)</f>
        <v/>
      </c>
      <c r="L147" s="6" t="n"/>
    </row>
    <row r="148">
      <c r="A148" s="7">
        <f>IF($D148="","",ROW()-2)</f>
        <v/>
      </c>
      <c r="B148" s="7" t="n"/>
      <c r="C148" s="7" t="n"/>
      <c r="D148" s="6" t="n"/>
      <c r="E148" s="7" t="n"/>
      <c r="F148" s="7" t="n"/>
      <c r="G148" s="7" t="n"/>
      <c r="H148" s="7" t="n"/>
      <c r="I148" s="7" t="n"/>
      <c r="J148" s="7" t="n"/>
      <c r="K148" s="7">
        <f>IF(OR($H148="",$J148=""),"",$H148-$J148)</f>
        <v/>
      </c>
      <c r="L148" s="6" t="n"/>
    </row>
    <row r="149">
      <c r="A149" s="7">
        <f>IF($D149="","",ROW()-2)</f>
        <v/>
      </c>
      <c r="B149" s="7" t="n"/>
      <c r="C149" s="7" t="n"/>
      <c r="D149" s="6" t="n"/>
      <c r="E149" s="7" t="n"/>
      <c r="F149" s="7" t="n"/>
      <c r="G149" s="7" t="n"/>
      <c r="H149" s="7" t="n"/>
      <c r="I149" s="7" t="n"/>
      <c r="J149" s="7" t="n"/>
      <c r="K149" s="7">
        <f>IF(OR($H149="",$J149=""),"",$H149-$J149)</f>
        <v/>
      </c>
      <c r="L149" s="6" t="n"/>
    </row>
    <row r="150">
      <c r="A150" s="7">
        <f>IF($D150="","",ROW()-2)</f>
        <v/>
      </c>
      <c r="B150" s="7" t="n"/>
      <c r="C150" s="7" t="n"/>
      <c r="D150" s="6" t="n"/>
      <c r="E150" s="7" t="n"/>
      <c r="F150" s="7" t="n"/>
      <c r="G150" s="7" t="n"/>
      <c r="H150" s="7" t="n"/>
      <c r="I150" s="7" t="n"/>
      <c r="J150" s="7" t="n"/>
      <c r="K150" s="7">
        <f>IF(OR($H150="",$J150=""),"",$H150-$J150)</f>
        <v/>
      </c>
      <c r="L150" s="6" t="n"/>
    </row>
    <row r="151">
      <c r="A151" s="7">
        <f>IF($D151="","",ROW()-2)</f>
        <v/>
      </c>
      <c r="B151" s="7" t="n"/>
      <c r="C151" s="7" t="n"/>
      <c r="D151" s="6" t="n"/>
      <c r="E151" s="7" t="n"/>
      <c r="F151" s="7" t="n"/>
      <c r="G151" s="7" t="n"/>
      <c r="H151" s="7" t="n"/>
      <c r="I151" s="7" t="n"/>
      <c r="J151" s="7" t="n"/>
      <c r="K151" s="7">
        <f>IF(OR($H151="",$J151=""),"",$H151-$J151)</f>
        <v/>
      </c>
      <c r="L151" s="6" t="n"/>
    </row>
    <row r="152">
      <c r="A152" s="7">
        <f>IF($D152="","",ROW()-2)</f>
        <v/>
      </c>
      <c r="B152" s="7" t="n"/>
      <c r="C152" s="7" t="n"/>
      <c r="D152" s="6" t="n"/>
      <c r="E152" s="7" t="n"/>
      <c r="F152" s="7" t="n"/>
      <c r="G152" s="7" t="n"/>
      <c r="H152" s="7" t="n"/>
      <c r="I152" s="7" t="n"/>
      <c r="J152" s="7" t="n"/>
      <c r="K152" s="7">
        <f>IF(OR($H152="",$J152=""),"",$H152-$J152)</f>
        <v/>
      </c>
      <c r="L152" s="6" t="n"/>
    </row>
    <row r="153">
      <c r="A153" s="7">
        <f>IF($D153="","",ROW()-2)</f>
        <v/>
      </c>
      <c r="B153" s="7" t="n"/>
      <c r="C153" s="7" t="n"/>
      <c r="D153" s="6" t="n"/>
      <c r="E153" s="7" t="n"/>
      <c r="F153" s="7" t="n"/>
      <c r="G153" s="7" t="n"/>
      <c r="H153" s="7" t="n"/>
      <c r="I153" s="7" t="n"/>
      <c r="J153" s="7" t="n"/>
      <c r="K153" s="7">
        <f>IF(OR($H153="",$J153=""),"",$H153-$J153)</f>
        <v/>
      </c>
      <c r="L153" s="6" t="n"/>
    </row>
    <row r="154">
      <c r="A154" s="7">
        <f>IF($D154="","",ROW()-2)</f>
        <v/>
      </c>
      <c r="B154" s="7" t="n"/>
      <c r="C154" s="7" t="n"/>
      <c r="D154" s="6" t="n"/>
      <c r="E154" s="7" t="n"/>
      <c r="F154" s="7" t="n"/>
      <c r="G154" s="7" t="n"/>
      <c r="H154" s="7" t="n"/>
      <c r="I154" s="7" t="n"/>
      <c r="J154" s="7" t="n"/>
      <c r="K154" s="7">
        <f>IF(OR($H154="",$J154=""),"",$H154-$J154)</f>
        <v/>
      </c>
      <c r="L154" s="6" t="n"/>
    </row>
    <row r="155">
      <c r="A155" s="7">
        <f>IF($D155="","",ROW()-2)</f>
        <v/>
      </c>
      <c r="B155" s="7" t="n"/>
      <c r="C155" s="7" t="n"/>
      <c r="D155" s="6" t="n"/>
      <c r="E155" s="7" t="n"/>
      <c r="F155" s="7" t="n"/>
      <c r="G155" s="7" t="n"/>
      <c r="H155" s="7" t="n"/>
      <c r="I155" s="7" t="n"/>
      <c r="J155" s="7" t="n"/>
      <c r="K155" s="7">
        <f>IF(OR($H155="",$J155=""),"",$H155-$J155)</f>
        <v/>
      </c>
      <c r="L155" s="6" t="n"/>
    </row>
    <row r="156">
      <c r="A156" s="7">
        <f>IF($D156="","",ROW()-2)</f>
        <v/>
      </c>
      <c r="B156" s="7" t="n"/>
      <c r="C156" s="7" t="n"/>
      <c r="D156" s="6" t="n"/>
      <c r="E156" s="7" t="n"/>
      <c r="F156" s="7" t="n"/>
      <c r="G156" s="7" t="n"/>
      <c r="H156" s="7" t="n"/>
      <c r="I156" s="7" t="n"/>
      <c r="J156" s="7" t="n"/>
      <c r="K156" s="7">
        <f>IF(OR($H156="",$J156=""),"",$H156-$J156)</f>
        <v/>
      </c>
      <c r="L156" s="6" t="n"/>
    </row>
    <row r="157">
      <c r="A157" s="7">
        <f>IF($D157="","",ROW()-2)</f>
        <v/>
      </c>
      <c r="B157" s="7" t="n"/>
      <c r="C157" s="7" t="n"/>
      <c r="D157" s="6" t="n"/>
      <c r="E157" s="7" t="n"/>
      <c r="F157" s="7" t="n"/>
      <c r="G157" s="7" t="n"/>
      <c r="H157" s="7" t="n"/>
      <c r="I157" s="7" t="n"/>
      <c r="J157" s="7" t="n"/>
      <c r="K157" s="7">
        <f>IF(OR($H157="",$J157=""),"",$H157-$J157)</f>
        <v/>
      </c>
      <c r="L157" s="6" t="n"/>
    </row>
    <row r="158">
      <c r="A158" s="7">
        <f>IF($D158="","",ROW()-2)</f>
        <v/>
      </c>
      <c r="B158" s="7" t="n"/>
      <c r="C158" s="7" t="n"/>
      <c r="D158" s="6" t="n"/>
      <c r="E158" s="7" t="n"/>
      <c r="F158" s="7" t="n"/>
      <c r="G158" s="7" t="n"/>
      <c r="H158" s="7" t="n"/>
      <c r="I158" s="7" t="n"/>
      <c r="J158" s="7" t="n"/>
      <c r="K158" s="7">
        <f>IF(OR($H158="",$J158=""),"",$H158-$J158)</f>
        <v/>
      </c>
      <c r="L158" s="6" t="n"/>
    </row>
    <row r="159">
      <c r="A159" s="7">
        <f>IF($D159="","",ROW()-2)</f>
        <v/>
      </c>
      <c r="B159" s="7" t="n"/>
      <c r="C159" s="7" t="n"/>
      <c r="D159" s="6" t="n"/>
      <c r="E159" s="7" t="n"/>
      <c r="F159" s="7" t="n"/>
      <c r="G159" s="7" t="n"/>
      <c r="H159" s="7" t="n"/>
      <c r="I159" s="7" t="n"/>
      <c r="J159" s="7" t="n"/>
      <c r="K159" s="7">
        <f>IF(OR($H159="",$J159=""),"",$H159-$J159)</f>
        <v/>
      </c>
      <c r="L159" s="6" t="n"/>
    </row>
    <row r="160">
      <c r="A160" s="7">
        <f>IF($D160="","",ROW()-2)</f>
        <v/>
      </c>
      <c r="B160" s="7" t="n"/>
      <c r="C160" s="7" t="n"/>
      <c r="D160" s="6" t="n"/>
      <c r="E160" s="7" t="n"/>
      <c r="F160" s="7" t="n"/>
      <c r="G160" s="7" t="n"/>
      <c r="H160" s="7" t="n"/>
      <c r="I160" s="7" t="n"/>
      <c r="J160" s="7" t="n"/>
      <c r="K160" s="7">
        <f>IF(OR($H160="",$J160=""),"",$H160-$J160)</f>
        <v/>
      </c>
      <c r="L160" s="6" t="n"/>
    </row>
    <row r="161">
      <c r="A161" s="7">
        <f>IF($D161="","",ROW()-2)</f>
        <v/>
      </c>
      <c r="B161" s="7" t="n"/>
      <c r="C161" s="7" t="n"/>
      <c r="D161" s="6" t="n"/>
      <c r="E161" s="7" t="n"/>
      <c r="F161" s="7" t="n"/>
      <c r="G161" s="7" t="n"/>
      <c r="H161" s="7" t="n"/>
      <c r="I161" s="7" t="n"/>
      <c r="J161" s="7" t="n"/>
      <c r="K161" s="7">
        <f>IF(OR($H161="",$J161=""),"",$H161-$J161)</f>
        <v/>
      </c>
      <c r="L161" s="6" t="n"/>
    </row>
    <row r="162">
      <c r="A162" s="7">
        <f>IF($D162="","",ROW()-2)</f>
        <v/>
      </c>
      <c r="B162" s="7" t="n"/>
      <c r="C162" s="7" t="n"/>
      <c r="D162" s="6" t="n"/>
      <c r="E162" s="7" t="n"/>
      <c r="F162" s="7" t="n"/>
      <c r="G162" s="7" t="n"/>
      <c r="H162" s="7" t="n"/>
      <c r="I162" s="7" t="n"/>
      <c r="J162" s="7" t="n"/>
      <c r="K162" s="7">
        <f>IF(OR($H162="",$J162=""),"",$H162-$J162)</f>
        <v/>
      </c>
      <c r="L162" s="6" t="n"/>
    </row>
    <row r="163">
      <c r="A163" s="7">
        <f>IF($D163="","",ROW()-2)</f>
        <v/>
      </c>
      <c r="B163" s="7" t="n"/>
      <c r="C163" s="7" t="n"/>
      <c r="D163" s="6" t="n"/>
      <c r="E163" s="7" t="n"/>
      <c r="F163" s="7" t="n"/>
      <c r="G163" s="7" t="n"/>
      <c r="H163" s="7" t="n"/>
      <c r="I163" s="7" t="n"/>
      <c r="J163" s="7" t="n"/>
      <c r="K163" s="7">
        <f>IF(OR($H163="",$J163=""),"",$H163-$J163)</f>
        <v/>
      </c>
      <c r="L163" s="6" t="n"/>
    </row>
    <row r="164">
      <c r="A164" s="7">
        <f>IF($D164="","",ROW()-2)</f>
        <v/>
      </c>
      <c r="B164" s="7" t="n"/>
      <c r="C164" s="7" t="n"/>
      <c r="D164" s="6" t="n"/>
      <c r="E164" s="7" t="n"/>
      <c r="F164" s="7" t="n"/>
      <c r="G164" s="7" t="n"/>
      <c r="H164" s="7" t="n"/>
      <c r="I164" s="7" t="n"/>
      <c r="J164" s="7" t="n"/>
      <c r="K164" s="7">
        <f>IF(OR($H164="",$J164=""),"",$H164-$J164)</f>
        <v/>
      </c>
      <c r="L164" s="6" t="n"/>
    </row>
    <row r="165">
      <c r="A165" s="7">
        <f>IF($D165="","",ROW()-2)</f>
        <v/>
      </c>
      <c r="B165" s="7" t="n"/>
      <c r="C165" s="7" t="n"/>
      <c r="D165" s="6" t="n"/>
      <c r="E165" s="7" t="n"/>
      <c r="F165" s="7" t="n"/>
      <c r="G165" s="7" t="n"/>
      <c r="H165" s="7" t="n"/>
      <c r="I165" s="7" t="n"/>
      <c r="J165" s="7" t="n"/>
      <c r="K165" s="7">
        <f>IF(OR($H165="",$J165=""),"",$H165-$J165)</f>
        <v/>
      </c>
      <c r="L165" s="6" t="n"/>
    </row>
    <row r="166">
      <c r="A166" s="7">
        <f>IF($D166="","",ROW()-2)</f>
        <v/>
      </c>
      <c r="B166" s="7" t="n"/>
      <c r="C166" s="7" t="n"/>
      <c r="D166" s="6" t="n"/>
      <c r="E166" s="7" t="n"/>
      <c r="F166" s="7" t="n"/>
      <c r="G166" s="7" t="n"/>
      <c r="H166" s="7" t="n"/>
      <c r="I166" s="7" t="n"/>
      <c r="J166" s="7" t="n"/>
      <c r="K166" s="7">
        <f>IF(OR($H166="",$J166=""),"",$H166-$J166)</f>
        <v/>
      </c>
      <c r="L166" s="6" t="n"/>
    </row>
    <row r="167">
      <c r="A167" s="7">
        <f>IF($D167="","",ROW()-2)</f>
        <v/>
      </c>
      <c r="B167" s="7" t="n"/>
      <c r="C167" s="7" t="n"/>
      <c r="D167" s="6" t="n"/>
      <c r="E167" s="7" t="n"/>
      <c r="F167" s="7" t="n"/>
      <c r="G167" s="7" t="n"/>
      <c r="H167" s="7" t="n"/>
      <c r="I167" s="7" t="n"/>
      <c r="J167" s="7" t="n"/>
      <c r="K167" s="7">
        <f>IF(OR($H167="",$J167=""),"",$H167-$J167)</f>
        <v/>
      </c>
      <c r="L167" s="6" t="n"/>
    </row>
    <row r="168">
      <c r="A168" s="7">
        <f>IF($D168="","",ROW()-2)</f>
        <v/>
      </c>
      <c r="B168" s="7" t="n"/>
      <c r="C168" s="7" t="n"/>
      <c r="D168" s="6" t="n"/>
      <c r="E168" s="7" t="n"/>
      <c r="F168" s="7" t="n"/>
      <c r="G168" s="7" t="n"/>
      <c r="H168" s="7" t="n"/>
      <c r="I168" s="7" t="n"/>
      <c r="J168" s="7" t="n"/>
      <c r="K168" s="7">
        <f>IF(OR($H168="",$J168=""),"",$H168-$J168)</f>
        <v/>
      </c>
      <c r="L168" s="6" t="n"/>
    </row>
    <row r="169">
      <c r="A169" s="7">
        <f>IF($D169="","",ROW()-2)</f>
        <v/>
      </c>
      <c r="B169" s="7" t="n"/>
      <c r="C169" s="7" t="n"/>
      <c r="D169" s="6" t="n"/>
      <c r="E169" s="7" t="n"/>
      <c r="F169" s="7" t="n"/>
      <c r="G169" s="7" t="n"/>
      <c r="H169" s="7" t="n"/>
      <c r="I169" s="7" t="n"/>
      <c r="J169" s="7" t="n"/>
      <c r="K169" s="7">
        <f>IF(OR($H169="",$J169=""),"",$H169-$J169)</f>
        <v/>
      </c>
      <c r="L169" s="6" t="n"/>
    </row>
    <row r="170">
      <c r="A170" s="7">
        <f>IF($D170="","",ROW()-2)</f>
        <v/>
      </c>
      <c r="B170" s="7" t="n"/>
      <c r="C170" s="7" t="n"/>
      <c r="D170" s="6" t="n"/>
      <c r="E170" s="7" t="n"/>
      <c r="F170" s="7" t="n"/>
      <c r="G170" s="7" t="n"/>
      <c r="H170" s="7" t="n"/>
      <c r="I170" s="7" t="n"/>
      <c r="J170" s="7" t="n"/>
      <c r="K170" s="7">
        <f>IF(OR($H170="",$J170=""),"",$H170-$J170)</f>
        <v/>
      </c>
      <c r="L170" s="6" t="n"/>
    </row>
    <row r="171">
      <c r="A171" s="7">
        <f>IF($D171="","",ROW()-2)</f>
        <v/>
      </c>
      <c r="B171" s="7" t="n"/>
      <c r="C171" s="7" t="n"/>
      <c r="D171" s="6" t="n"/>
      <c r="E171" s="7" t="n"/>
      <c r="F171" s="7" t="n"/>
      <c r="G171" s="7" t="n"/>
      <c r="H171" s="7" t="n"/>
      <c r="I171" s="7" t="n"/>
      <c r="J171" s="7" t="n"/>
      <c r="K171" s="7">
        <f>IF(OR($H171="",$J171=""),"",$H171-$J171)</f>
        <v/>
      </c>
      <c r="L171" s="6" t="n"/>
    </row>
    <row r="172">
      <c r="A172" s="7">
        <f>IF($D172="","",ROW()-2)</f>
        <v/>
      </c>
      <c r="B172" s="7" t="n"/>
      <c r="C172" s="7" t="n"/>
      <c r="D172" s="6" t="n"/>
      <c r="E172" s="7" t="n"/>
      <c r="F172" s="7" t="n"/>
      <c r="G172" s="7" t="n"/>
      <c r="H172" s="7" t="n"/>
      <c r="I172" s="7" t="n"/>
      <c r="J172" s="7" t="n"/>
      <c r="K172" s="7">
        <f>IF(OR($H172="",$J172=""),"",$H172-$J172)</f>
        <v/>
      </c>
      <c r="L172" s="6" t="n"/>
    </row>
    <row r="173">
      <c r="A173" s="7">
        <f>IF($D173="","",ROW()-2)</f>
        <v/>
      </c>
      <c r="B173" s="7" t="n"/>
      <c r="C173" s="7" t="n"/>
      <c r="D173" s="6" t="n"/>
      <c r="E173" s="7" t="n"/>
      <c r="F173" s="7" t="n"/>
      <c r="G173" s="7" t="n"/>
      <c r="H173" s="7" t="n"/>
      <c r="I173" s="7" t="n"/>
      <c r="J173" s="7" t="n"/>
      <c r="K173" s="7">
        <f>IF(OR($H173="",$J173=""),"",$H173-$J173)</f>
        <v/>
      </c>
      <c r="L173" s="6" t="n"/>
    </row>
    <row r="174">
      <c r="A174" s="7">
        <f>IF($D174="","",ROW()-2)</f>
        <v/>
      </c>
      <c r="B174" s="7" t="n"/>
      <c r="C174" s="7" t="n"/>
      <c r="D174" s="6" t="n"/>
      <c r="E174" s="7" t="n"/>
      <c r="F174" s="7" t="n"/>
      <c r="G174" s="7" t="n"/>
      <c r="H174" s="7" t="n"/>
      <c r="I174" s="7" t="n"/>
      <c r="J174" s="7" t="n"/>
      <c r="K174" s="7">
        <f>IF(OR($H174="",$J174=""),"",$H174-$J174)</f>
        <v/>
      </c>
      <c r="L174" s="6" t="n"/>
    </row>
    <row r="175">
      <c r="A175" s="7">
        <f>IF($D175="","",ROW()-2)</f>
        <v/>
      </c>
      <c r="B175" s="7" t="n"/>
      <c r="C175" s="7" t="n"/>
      <c r="D175" s="6" t="n"/>
      <c r="E175" s="7" t="n"/>
      <c r="F175" s="7" t="n"/>
      <c r="G175" s="7" t="n"/>
      <c r="H175" s="7" t="n"/>
      <c r="I175" s="7" t="n"/>
      <c r="J175" s="7" t="n"/>
      <c r="K175" s="7">
        <f>IF(OR($H175="",$J175=""),"",$H175-$J175)</f>
        <v/>
      </c>
      <c r="L175" s="6" t="n"/>
    </row>
    <row r="176">
      <c r="A176" s="7">
        <f>IF($D176="","",ROW()-2)</f>
        <v/>
      </c>
      <c r="B176" s="7" t="n"/>
      <c r="C176" s="7" t="n"/>
      <c r="D176" s="6" t="n"/>
      <c r="E176" s="7" t="n"/>
      <c r="F176" s="7" t="n"/>
      <c r="G176" s="7" t="n"/>
      <c r="H176" s="7" t="n"/>
      <c r="I176" s="7" t="n"/>
      <c r="J176" s="7" t="n"/>
      <c r="K176" s="7">
        <f>IF(OR($H176="",$J176=""),"",$H176-$J176)</f>
        <v/>
      </c>
      <c r="L176" s="6" t="n"/>
    </row>
    <row r="177">
      <c r="A177" s="7">
        <f>IF($D177="","",ROW()-2)</f>
        <v/>
      </c>
      <c r="B177" s="7" t="n"/>
      <c r="C177" s="7" t="n"/>
      <c r="D177" s="6" t="n"/>
      <c r="E177" s="7" t="n"/>
      <c r="F177" s="7" t="n"/>
      <c r="G177" s="7" t="n"/>
      <c r="H177" s="7" t="n"/>
      <c r="I177" s="7" t="n"/>
      <c r="J177" s="7" t="n"/>
      <c r="K177" s="7">
        <f>IF(OR($H177="",$J177=""),"",$H177-$J177)</f>
        <v/>
      </c>
      <c r="L177" s="6" t="n"/>
    </row>
    <row r="178">
      <c r="A178" s="7">
        <f>IF($D178="","",ROW()-2)</f>
        <v/>
      </c>
      <c r="B178" s="7" t="n"/>
      <c r="C178" s="7" t="n"/>
      <c r="D178" s="6" t="n"/>
      <c r="E178" s="7" t="n"/>
      <c r="F178" s="7" t="n"/>
      <c r="G178" s="7" t="n"/>
      <c r="H178" s="7" t="n"/>
      <c r="I178" s="7" t="n"/>
      <c r="J178" s="7" t="n"/>
      <c r="K178" s="7">
        <f>IF(OR($H178="",$J178=""),"",$H178-$J178)</f>
        <v/>
      </c>
      <c r="L178" s="6" t="n"/>
    </row>
    <row r="179">
      <c r="A179" s="7">
        <f>IF($D179="","",ROW()-2)</f>
        <v/>
      </c>
      <c r="B179" s="7" t="n"/>
      <c r="C179" s="7" t="n"/>
      <c r="D179" s="6" t="n"/>
      <c r="E179" s="7" t="n"/>
      <c r="F179" s="7" t="n"/>
      <c r="G179" s="7" t="n"/>
      <c r="H179" s="7" t="n"/>
      <c r="I179" s="7" t="n"/>
      <c r="J179" s="7" t="n"/>
      <c r="K179" s="7">
        <f>IF(OR($H179="",$J179=""),"",$H179-$J179)</f>
        <v/>
      </c>
      <c r="L179" s="6" t="n"/>
    </row>
    <row r="180">
      <c r="A180" s="7">
        <f>IF($D180="","",ROW()-2)</f>
        <v/>
      </c>
      <c r="B180" s="7" t="n"/>
      <c r="C180" s="7" t="n"/>
      <c r="D180" s="6" t="n"/>
      <c r="E180" s="7" t="n"/>
      <c r="F180" s="7" t="n"/>
      <c r="G180" s="7" t="n"/>
      <c r="H180" s="7" t="n"/>
      <c r="I180" s="7" t="n"/>
      <c r="J180" s="7" t="n"/>
      <c r="K180" s="7">
        <f>IF(OR($H180="",$J180=""),"",$H180-$J180)</f>
        <v/>
      </c>
      <c r="L180" s="6" t="n"/>
    </row>
    <row r="181">
      <c r="A181" s="7">
        <f>IF($D181="","",ROW()-2)</f>
        <v/>
      </c>
      <c r="B181" s="7" t="n"/>
      <c r="C181" s="7" t="n"/>
      <c r="D181" s="6" t="n"/>
      <c r="E181" s="7" t="n"/>
      <c r="F181" s="7" t="n"/>
      <c r="G181" s="7" t="n"/>
      <c r="H181" s="7" t="n"/>
      <c r="I181" s="7" t="n"/>
      <c r="J181" s="7" t="n"/>
      <c r="K181" s="7">
        <f>IF(OR($H181="",$J181=""),"",$H181-$J181)</f>
        <v/>
      </c>
      <c r="L181" s="6" t="n"/>
    </row>
    <row r="182">
      <c r="A182" s="7">
        <f>IF($D182="","",ROW()-2)</f>
        <v/>
      </c>
      <c r="B182" s="7" t="n"/>
      <c r="C182" s="7" t="n"/>
      <c r="D182" s="6" t="n"/>
      <c r="E182" s="7" t="n"/>
      <c r="F182" s="7" t="n"/>
      <c r="G182" s="7" t="n"/>
      <c r="H182" s="7" t="n"/>
      <c r="I182" s="7" t="n"/>
      <c r="J182" s="7" t="n"/>
      <c r="K182" s="7">
        <f>IF(OR($H182="",$J182=""),"",$H182-$J182)</f>
        <v/>
      </c>
      <c r="L182" s="6" t="n"/>
    </row>
    <row r="183">
      <c r="A183" s="7">
        <f>IF($D183="","",ROW()-2)</f>
        <v/>
      </c>
      <c r="B183" s="7" t="n"/>
      <c r="C183" s="7" t="n"/>
      <c r="D183" s="6" t="n"/>
      <c r="E183" s="7" t="n"/>
      <c r="F183" s="7" t="n"/>
      <c r="G183" s="7" t="n"/>
      <c r="H183" s="7" t="n"/>
      <c r="I183" s="7" t="n"/>
      <c r="J183" s="7" t="n"/>
      <c r="K183" s="7">
        <f>IF(OR($H183="",$J183=""),"",$H183-$J183)</f>
        <v/>
      </c>
      <c r="L183" s="6" t="n"/>
    </row>
    <row r="184">
      <c r="A184" s="7">
        <f>IF($D184="","",ROW()-2)</f>
        <v/>
      </c>
      <c r="B184" s="7" t="n"/>
      <c r="C184" s="7" t="n"/>
      <c r="D184" s="6" t="n"/>
      <c r="E184" s="7" t="n"/>
      <c r="F184" s="7" t="n"/>
      <c r="G184" s="7" t="n"/>
      <c r="H184" s="7" t="n"/>
      <c r="I184" s="7" t="n"/>
      <c r="J184" s="7" t="n"/>
      <c r="K184" s="7">
        <f>IF(OR($H184="",$J184=""),"",$H184-$J184)</f>
        <v/>
      </c>
      <c r="L184" s="6" t="n"/>
    </row>
    <row r="185">
      <c r="A185" s="7">
        <f>IF($D185="","",ROW()-2)</f>
        <v/>
      </c>
      <c r="B185" s="7" t="n"/>
      <c r="C185" s="7" t="n"/>
      <c r="D185" s="6" t="n"/>
      <c r="E185" s="7" t="n"/>
      <c r="F185" s="7" t="n"/>
      <c r="G185" s="7" t="n"/>
      <c r="H185" s="7" t="n"/>
      <c r="I185" s="7" t="n"/>
      <c r="J185" s="7" t="n"/>
      <c r="K185" s="7">
        <f>IF(OR($H185="",$J185=""),"",$H185-$J185)</f>
        <v/>
      </c>
      <c r="L185" s="6" t="n"/>
    </row>
    <row r="186">
      <c r="A186" s="7">
        <f>IF($D186="","",ROW()-2)</f>
        <v/>
      </c>
      <c r="B186" s="7" t="n"/>
      <c r="C186" s="7" t="n"/>
      <c r="D186" s="6" t="n"/>
      <c r="E186" s="7" t="n"/>
      <c r="F186" s="7" t="n"/>
      <c r="G186" s="7" t="n"/>
      <c r="H186" s="7" t="n"/>
      <c r="I186" s="7" t="n"/>
      <c r="J186" s="7" t="n"/>
      <c r="K186" s="7">
        <f>IF(OR($H186="",$J186=""),"",$H186-$J186)</f>
        <v/>
      </c>
      <c r="L186" s="6" t="n"/>
    </row>
    <row r="187">
      <c r="A187" s="7">
        <f>IF($D187="","",ROW()-2)</f>
        <v/>
      </c>
      <c r="B187" s="7" t="n"/>
      <c r="C187" s="7" t="n"/>
      <c r="D187" s="6" t="n"/>
      <c r="E187" s="7" t="n"/>
      <c r="F187" s="7" t="n"/>
      <c r="G187" s="7" t="n"/>
      <c r="H187" s="7" t="n"/>
      <c r="I187" s="7" t="n"/>
      <c r="J187" s="7" t="n"/>
      <c r="K187" s="7">
        <f>IF(OR($H187="",$J187=""),"",$H187-$J187)</f>
        <v/>
      </c>
      <c r="L187" s="6" t="n"/>
    </row>
    <row r="188">
      <c r="A188" s="7">
        <f>IF($D188="","",ROW()-2)</f>
        <v/>
      </c>
      <c r="B188" s="7" t="n"/>
      <c r="C188" s="7" t="n"/>
      <c r="D188" s="6" t="n"/>
      <c r="E188" s="7" t="n"/>
      <c r="F188" s="7" t="n"/>
      <c r="G188" s="7" t="n"/>
      <c r="H188" s="7" t="n"/>
      <c r="I188" s="7" t="n"/>
      <c r="J188" s="7" t="n"/>
      <c r="K188" s="7">
        <f>IF(OR($H188="",$J188=""),"",$H188-$J188)</f>
        <v/>
      </c>
      <c r="L188" s="6" t="n"/>
    </row>
    <row r="189">
      <c r="A189" s="7">
        <f>IF($D189="","",ROW()-2)</f>
        <v/>
      </c>
      <c r="B189" s="7" t="n"/>
      <c r="C189" s="7" t="n"/>
      <c r="D189" s="6" t="n"/>
      <c r="E189" s="7" t="n"/>
      <c r="F189" s="7" t="n"/>
      <c r="G189" s="7" t="n"/>
      <c r="H189" s="7" t="n"/>
      <c r="I189" s="7" t="n"/>
      <c r="J189" s="7" t="n"/>
      <c r="K189" s="7">
        <f>IF(OR($H189="",$J189=""),"",$H189-$J189)</f>
        <v/>
      </c>
      <c r="L189" s="6" t="n"/>
    </row>
    <row r="190">
      <c r="A190" s="7">
        <f>IF($D190="","",ROW()-2)</f>
        <v/>
      </c>
      <c r="B190" s="7" t="n"/>
      <c r="C190" s="7" t="n"/>
      <c r="D190" s="6" t="n"/>
      <c r="E190" s="7" t="n"/>
      <c r="F190" s="7" t="n"/>
      <c r="G190" s="7" t="n"/>
      <c r="H190" s="7" t="n"/>
      <c r="I190" s="7" t="n"/>
      <c r="J190" s="7" t="n"/>
      <c r="K190" s="7">
        <f>IF(OR($H190="",$J190=""),"",$H190-$J190)</f>
        <v/>
      </c>
      <c r="L190" s="6" t="n"/>
    </row>
    <row r="191">
      <c r="A191" s="7">
        <f>IF($D191="","",ROW()-2)</f>
        <v/>
      </c>
      <c r="B191" s="7" t="n"/>
      <c r="C191" s="7" t="n"/>
      <c r="D191" s="6" t="n"/>
      <c r="E191" s="7" t="n"/>
      <c r="F191" s="7" t="n"/>
      <c r="G191" s="7" t="n"/>
      <c r="H191" s="7" t="n"/>
      <c r="I191" s="7" t="n"/>
      <c r="J191" s="7" t="n"/>
      <c r="K191" s="7">
        <f>IF(OR($H191="",$J191=""),"",$H191-$J191)</f>
        <v/>
      </c>
      <c r="L191" s="6" t="n"/>
    </row>
    <row r="192">
      <c r="A192" s="7">
        <f>IF($D192="","",ROW()-2)</f>
        <v/>
      </c>
      <c r="B192" s="7" t="n"/>
      <c r="C192" s="7" t="n"/>
      <c r="D192" s="6" t="n"/>
      <c r="E192" s="7" t="n"/>
      <c r="F192" s="7" t="n"/>
      <c r="G192" s="7" t="n"/>
      <c r="H192" s="7" t="n"/>
      <c r="I192" s="7" t="n"/>
      <c r="J192" s="7" t="n"/>
      <c r="K192" s="7">
        <f>IF(OR($H192="",$J192=""),"",$H192-$J192)</f>
        <v/>
      </c>
      <c r="L192" s="6" t="n"/>
    </row>
    <row r="193">
      <c r="A193" s="7">
        <f>IF($D193="","",ROW()-2)</f>
        <v/>
      </c>
      <c r="B193" s="7" t="n"/>
      <c r="C193" s="7" t="n"/>
      <c r="D193" s="6" t="n"/>
      <c r="E193" s="7" t="n"/>
      <c r="F193" s="7" t="n"/>
      <c r="G193" s="7" t="n"/>
      <c r="H193" s="7" t="n"/>
      <c r="I193" s="7" t="n"/>
      <c r="J193" s="7" t="n"/>
      <c r="K193" s="7">
        <f>IF(OR($H193="",$J193=""),"",$H193-$J193)</f>
        <v/>
      </c>
      <c r="L193" s="6" t="n"/>
    </row>
    <row r="194">
      <c r="A194" s="7">
        <f>IF($D194="","",ROW()-2)</f>
        <v/>
      </c>
      <c r="B194" s="7" t="n"/>
      <c r="C194" s="7" t="n"/>
      <c r="D194" s="6" t="n"/>
      <c r="E194" s="7" t="n"/>
      <c r="F194" s="7" t="n"/>
      <c r="G194" s="7" t="n"/>
      <c r="H194" s="7" t="n"/>
      <c r="I194" s="7" t="n"/>
      <c r="J194" s="7" t="n"/>
      <c r="K194" s="7">
        <f>IF(OR($H194="",$J194=""),"",$H194-$J194)</f>
        <v/>
      </c>
      <c r="L194" s="6" t="n"/>
    </row>
    <row r="195">
      <c r="A195" s="7">
        <f>IF($D195="","",ROW()-2)</f>
        <v/>
      </c>
      <c r="B195" s="7" t="n"/>
      <c r="C195" s="7" t="n"/>
      <c r="D195" s="6" t="n"/>
      <c r="E195" s="7" t="n"/>
      <c r="F195" s="7" t="n"/>
      <c r="G195" s="7" t="n"/>
      <c r="H195" s="7" t="n"/>
      <c r="I195" s="7" t="n"/>
      <c r="J195" s="7" t="n"/>
      <c r="K195" s="7">
        <f>IF(OR($H195="",$J195=""),"",$H195-$J195)</f>
        <v/>
      </c>
      <c r="L195" s="6" t="n"/>
    </row>
    <row r="196">
      <c r="A196" s="7">
        <f>IF($D196="","",ROW()-2)</f>
        <v/>
      </c>
      <c r="B196" s="7" t="n"/>
      <c r="C196" s="7" t="n"/>
      <c r="D196" s="6" t="n"/>
      <c r="E196" s="7" t="n"/>
      <c r="F196" s="7" t="n"/>
      <c r="G196" s="7" t="n"/>
      <c r="H196" s="7" t="n"/>
      <c r="I196" s="7" t="n"/>
      <c r="J196" s="7" t="n"/>
      <c r="K196" s="7">
        <f>IF(OR($H196="",$J196=""),"",$H196-$J196)</f>
        <v/>
      </c>
      <c r="L196" s="6" t="n"/>
    </row>
    <row r="197">
      <c r="A197" s="7">
        <f>IF($D197="","",ROW()-2)</f>
        <v/>
      </c>
      <c r="B197" s="7" t="n"/>
      <c r="C197" s="7" t="n"/>
      <c r="D197" s="6" t="n"/>
      <c r="E197" s="7" t="n"/>
      <c r="F197" s="7" t="n"/>
      <c r="G197" s="7" t="n"/>
      <c r="H197" s="7" t="n"/>
      <c r="I197" s="7" t="n"/>
      <c r="J197" s="7" t="n"/>
      <c r="K197" s="7">
        <f>IF(OR($H197="",$J197=""),"",$H197-$J197)</f>
        <v/>
      </c>
      <c r="L197" s="6" t="n"/>
    </row>
    <row r="198">
      <c r="A198" s="7">
        <f>IF($D198="","",ROW()-2)</f>
        <v/>
      </c>
      <c r="B198" s="7" t="n"/>
      <c r="C198" s="7" t="n"/>
      <c r="D198" s="6" t="n"/>
      <c r="E198" s="7" t="n"/>
      <c r="F198" s="7" t="n"/>
      <c r="G198" s="7" t="n"/>
      <c r="H198" s="7" t="n"/>
      <c r="I198" s="7" t="n"/>
      <c r="J198" s="7" t="n"/>
      <c r="K198" s="7">
        <f>IF(OR($H198="",$J198=""),"",$H198-$J198)</f>
        <v/>
      </c>
      <c r="L198" s="6" t="n"/>
    </row>
    <row r="199">
      <c r="A199" s="7">
        <f>IF($D199="","",ROW()-2)</f>
        <v/>
      </c>
      <c r="B199" s="7" t="n"/>
      <c r="C199" s="7" t="n"/>
      <c r="D199" s="6" t="n"/>
      <c r="E199" s="7" t="n"/>
      <c r="F199" s="7" t="n"/>
      <c r="G199" s="7" t="n"/>
      <c r="H199" s="7" t="n"/>
      <c r="I199" s="7" t="n"/>
      <c r="J199" s="7" t="n"/>
      <c r="K199" s="7">
        <f>IF(OR($H199="",$J199=""),"",$H199-$J199)</f>
        <v/>
      </c>
      <c r="L199" s="6" t="n"/>
    </row>
    <row r="200">
      <c r="A200" s="7">
        <f>IF($D200="","",ROW()-2)</f>
        <v/>
      </c>
      <c r="B200" s="7" t="n"/>
      <c r="C200" s="7" t="n"/>
      <c r="D200" s="6" t="n"/>
      <c r="E200" s="7" t="n"/>
      <c r="F200" s="7" t="n"/>
      <c r="G200" s="7" t="n"/>
      <c r="H200" s="7" t="n"/>
      <c r="I200" s="7" t="n"/>
      <c r="J200" s="7" t="n"/>
      <c r="K200" s="7">
        <f>IF(OR($H200="",$J200=""),"",$H200-$J200)</f>
        <v/>
      </c>
      <c r="L200" s="6" t="n"/>
    </row>
    <row r="201">
      <c r="A201" s="7">
        <f>IF($D201="","",ROW()-2)</f>
        <v/>
      </c>
      <c r="B201" s="7" t="n"/>
      <c r="C201" s="7" t="n"/>
      <c r="D201" s="6" t="n"/>
      <c r="E201" s="7" t="n"/>
      <c r="F201" s="7" t="n"/>
      <c r="G201" s="7" t="n"/>
      <c r="H201" s="7" t="n"/>
      <c r="I201" s="7" t="n"/>
      <c r="J201" s="7" t="n"/>
      <c r="K201" s="7">
        <f>IF(OR($H201="",$J201=""),"",$H201-$J201)</f>
        <v/>
      </c>
      <c r="L201" s="6" t="n"/>
    </row>
    <row r="202">
      <c r="A202" s="7">
        <f>IF($D202="","",ROW()-2)</f>
        <v/>
      </c>
      <c r="B202" s="7" t="n"/>
      <c r="C202" s="7" t="n"/>
      <c r="D202" s="6" t="n"/>
      <c r="E202" s="7" t="n"/>
      <c r="F202" s="7" t="n"/>
      <c r="G202" s="7" t="n"/>
      <c r="H202" s="7" t="n"/>
      <c r="I202" s="7" t="n"/>
      <c r="J202" s="7" t="n"/>
      <c r="K202" s="7">
        <f>IF(OR($H202="",$J202=""),"",$H202-$J202)</f>
        <v/>
      </c>
      <c r="L202" s="6" t="n"/>
    </row>
    <row r="203">
      <c r="A203" s="7">
        <f>IF($D203="","",ROW()-2)</f>
        <v/>
      </c>
      <c r="B203" s="7" t="n"/>
      <c r="C203" s="7" t="n"/>
      <c r="D203" s="6" t="n"/>
      <c r="E203" s="7" t="n"/>
      <c r="F203" s="7" t="n"/>
      <c r="G203" s="7" t="n"/>
      <c r="H203" s="7" t="n"/>
      <c r="I203" s="7" t="n"/>
      <c r="J203" s="7" t="n"/>
      <c r="K203" s="7">
        <f>IF(OR($H203="",$J203=""),"",$H203-$J203)</f>
        <v/>
      </c>
      <c r="L203" s="6" t="n"/>
    </row>
    <row r="204">
      <c r="A204" s="7">
        <f>IF($D204="","",ROW()-2)</f>
        <v/>
      </c>
      <c r="B204" s="7" t="n"/>
      <c r="C204" s="7" t="n"/>
      <c r="D204" s="6" t="n"/>
      <c r="E204" s="7" t="n"/>
      <c r="F204" s="7" t="n"/>
      <c r="G204" s="7" t="n"/>
      <c r="H204" s="7" t="n"/>
      <c r="I204" s="7" t="n"/>
      <c r="J204" s="7" t="n"/>
      <c r="K204" s="7">
        <f>IF(OR($H204="",$J204=""),"",$H204-$J204)</f>
        <v/>
      </c>
      <c r="L204" s="6" t="n"/>
    </row>
    <row r="205">
      <c r="A205" s="7">
        <f>IF($D205="","",ROW()-2)</f>
        <v/>
      </c>
      <c r="B205" s="7" t="n"/>
      <c r="C205" s="7" t="n"/>
      <c r="D205" s="6" t="n"/>
      <c r="E205" s="7" t="n"/>
      <c r="F205" s="7" t="n"/>
      <c r="G205" s="7" t="n"/>
      <c r="H205" s="7" t="n"/>
      <c r="I205" s="7" t="n"/>
      <c r="J205" s="7" t="n"/>
      <c r="K205" s="7">
        <f>IF(OR($H205="",$J205=""),"",$H205-$J205)</f>
        <v/>
      </c>
      <c r="L205" s="6" t="n"/>
    </row>
    <row r="206">
      <c r="A206" s="7">
        <f>IF($D206="","",ROW()-2)</f>
        <v/>
      </c>
      <c r="B206" s="7" t="n"/>
      <c r="C206" s="7" t="n"/>
      <c r="D206" s="6" t="n"/>
      <c r="E206" s="7" t="n"/>
      <c r="F206" s="7" t="n"/>
      <c r="G206" s="7" t="n"/>
      <c r="H206" s="7" t="n"/>
      <c r="I206" s="7" t="n"/>
      <c r="J206" s="7" t="n"/>
      <c r="K206" s="7">
        <f>IF(OR($H206="",$J206=""),"",$H206-$J206)</f>
        <v/>
      </c>
      <c r="L206" s="6" t="n"/>
    </row>
    <row r="207">
      <c r="A207" s="7">
        <f>IF($D207="","",ROW()-2)</f>
        <v/>
      </c>
      <c r="B207" s="7" t="n"/>
      <c r="C207" s="7" t="n"/>
      <c r="D207" s="6" t="n"/>
      <c r="E207" s="7" t="n"/>
      <c r="F207" s="7" t="n"/>
      <c r="G207" s="7" t="n"/>
      <c r="H207" s="7" t="n"/>
      <c r="I207" s="7" t="n"/>
      <c r="J207" s="7" t="n"/>
      <c r="K207" s="7">
        <f>IF(OR($H207="",$J207=""),"",$H207-$J207)</f>
        <v/>
      </c>
      <c r="L207" s="6" t="n"/>
    </row>
    <row r="208">
      <c r="A208" s="7">
        <f>IF($D208="","",ROW()-2)</f>
        <v/>
      </c>
      <c r="B208" s="7" t="n"/>
      <c r="C208" s="7" t="n"/>
      <c r="D208" s="6" t="n"/>
      <c r="E208" s="7" t="n"/>
      <c r="F208" s="7" t="n"/>
      <c r="G208" s="7" t="n"/>
      <c r="H208" s="7" t="n"/>
      <c r="I208" s="7" t="n"/>
      <c r="J208" s="7" t="n"/>
      <c r="K208" s="7">
        <f>IF(OR($H208="",$J208=""),"",$H208-$J208)</f>
        <v/>
      </c>
      <c r="L208" s="6" t="n"/>
    </row>
    <row r="209">
      <c r="A209" s="7">
        <f>IF($D209="","",ROW()-2)</f>
        <v/>
      </c>
      <c r="B209" s="7" t="n"/>
      <c r="C209" s="7" t="n"/>
      <c r="D209" s="6" t="n"/>
      <c r="E209" s="7" t="n"/>
      <c r="F209" s="7" t="n"/>
      <c r="G209" s="7" t="n"/>
      <c r="H209" s="7" t="n"/>
      <c r="I209" s="7" t="n"/>
      <c r="J209" s="7" t="n"/>
      <c r="K209" s="7">
        <f>IF(OR($H209="",$J209=""),"",$H209-$J209)</f>
        <v/>
      </c>
      <c r="L209" s="6" t="n"/>
    </row>
    <row r="210">
      <c r="A210" s="7">
        <f>IF($D210="","",ROW()-2)</f>
        <v/>
      </c>
      <c r="B210" s="7" t="n"/>
      <c r="C210" s="7" t="n"/>
      <c r="D210" s="6" t="n"/>
      <c r="E210" s="7" t="n"/>
      <c r="F210" s="7" t="n"/>
      <c r="G210" s="7" t="n"/>
      <c r="H210" s="7" t="n"/>
      <c r="I210" s="7" t="n"/>
      <c r="J210" s="7" t="n"/>
      <c r="K210" s="7">
        <f>IF(OR($H210="",$J210=""),"",$H210-$J210)</f>
        <v/>
      </c>
      <c r="L210" s="6" t="n"/>
    </row>
    <row r="211">
      <c r="A211" s="7">
        <f>IF($D211="","",ROW()-2)</f>
        <v/>
      </c>
      <c r="B211" s="7" t="n"/>
      <c r="C211" s="7" t="n"/>
      <c r="D211" s="6" t="n"/>
      <c r="E211" s="7" t="n"/>
      <c r="F211" s="7" t="n"/>
      <c r="G211" s="7" t="n"/>
      <c r="H211" s="7" t="n"/>
      <c r="I211" s="7" t="n"/>
      <c r="J211" s="7" t="n"/>
      <c r="K211" s="7">
        <f>IF(OR($H211="",$J211=""),"",$H211-$J211)</f>
        <v/>
      </c>
      <c r="L211" s="6" t="n"/>
    </row>
    <row r="212">
      <c r="A212" s="7">
        <f>IF($D212="","",ROW()-2)</f>
        <v/>
      </c>
      <c r="B212" s="7" t="n"/>
      <c r="C212" s="7" t="n"/>
      <c r="D212" s="6" t="n"/>
      <c r="E212" s="7" t="n"/>
      <c r="F212" s="7" t="n"/>
      <c r="G212" s="7" t="n"/>
      <c r="H212" s="7" t="n"/>
      <c r="I212" s="7" t="n"/>
      <c r="J212" s="7" t="n"/>
      <c r="K212" s="7">
        <f>IF(OR($H212="",$J212=""),"",$H212-$J212)</f>
        <v/>
      </c>
      <c r="L212" s="6" t="n"/>
    </row>
    <row r="213">
      <c r="A213" s="7">
        <f>IF($D213="","",ROW()-2)</f>
        <v/>
      </c>
      <c r="B213" s="7" t="n"/>
      <c r="C213" s="7" t="n"/>
      <c r="D213" s="6" t="n"/>
      <c r="E213" s="7" t="n"/>
      <c r="F213" s="7" t="n"/>
      <c r="G213" s="7" t="n"/>
      <c r="H213" s="7" t="n"/>
      <c r="I213" s="7" t="n"/>
      <c r="J213" s="7" t="n"/>
      <c r="K213" s="7">
        <f>IF(OR($H213="",$J213=""),"",$H213-$J213)</f>
        <v/>
      </c>
      <c r="L213" s="6" t="n"/>
    </row>
    <row r="214">
      <c r="A214" s="7">
        <f>IF($D214="","",ROW()-2)</f>
        <v/>
      </c>
      <c r="B214" s="7" t="n"/>
      <c r="C214" s="7" t="n"/>
      <c r="D214" s="6" t="n"/>
      <c r="E214" s="7" t="n"/>
      <c r="F214" s="7" t="n"/>
      <c r="G214" s="7" t="n"/>
      <c r="H214" s="7" t="n"/>
      <c r="I214" s="7" t="n"/>
      <c r="J214" s="7" t="n"/>
      <c r="K214" s="7">
        <f>IF(OR($H214="",$J214=""),"",$H214-$J214)</f>
        <v/>
      </c>
      <c r="L214" s="6" t="n"/>
    </row>
    <row r="215">
      <c r="A215" s="7">
        <f>IF($D215="","",ROW()-2)</f>
        <v/>
      </c>
      <c r="B215" s="7" t="n"/>
      <c r="C215" s="7" t="n"/>
      <c r="D215" s="6" t="n"/>
      <c r="E215" s="7" t="n"/>
      <c r="F215" s="7" t="n"/>
      <c r="G215" s="7" t="n"/>
      <c r="H215" s="7" t="n"/>
      <c r="I215" s="7" t="n"/>
      <c r="J215" s="7" t="n"/>
      <c r="K215" s="7">
        <f>IF(OR($H215="",$J215=""),"",$H215-$J215)</f>
        <v/>
      </c>
      <c r="L215" s="6" t="n"/>
    </row>
    <row r="216">
      <c r="A216" s="7">
        <f>IF($D216="","",ROW()-2)</f>
        <v/>
      </c>
      <c r="B216" s="7" t="n"/>
      <c r="C216" s="7" t="n"/>
      <c r="D216" s="6" t="n"/>
      <c r="E216" s="7" t="n"/>
      <c r="F216" s="7" t="n"/>
      <c r="G216" s="7" t="n"/>
      <c r="H216" s="7" t="n"/>
      <c r="I216" s="7" t="n"/>
      <c r="J216" s="7" t="n"/>
      <c r="K216" s="7">
        <f>IF(OR($H216="",$J216=""),"",$H216-$J216)</f>
        <v/>
      </c>
      <c r="L216" s="6" t="n"/>
    </row>
    <row r="217">
      <c r="A217" s="7">
        <f>IF($D217="","",ROW()-2)</f>
        <v/>
      </c>
      <c r="B217" s="7" t="n"/>
      <c r="C217" s="7" t="n"/>
      <c r="D217" s="6" t="n"/>
      <c r="E217" s="7" t="n"/>
      <c r="F217" s="7" t="n"/>
      <c r="G217" s="7" t="n"/>
      <c r="H217" s="7" t="n"/>
      <c r="I217" s="7" t="n"/>
      <c r="J217" s="7" t="n"/>
      <c r="K217" s="7">
        <f>IF(OR($H217="",$J217=""),"",$H217-$J217)</f>
        <v/>
      </c>
      <c r="L217" s="6" t="n"/>
    </row>
    <row r="218">
      <c r="A218" s="7">
        <f>IF($D218="","",ROW()-2)</f>
        <v/>
      </c>
      <c r="B218" s="7" t="n"/>
      <c r="C218" s="7" t="n"/>
      <c r="D218" s="6" t="n"/>
      <c r="E218" s="7" t="n"/>
      <c r="F218" s="7" t="n"/>
      <c r="G218" s="7" t="n"/>
      <c r="H218" s="7" t="n"/>
      <c r="I218" s="7" t="n"/>
      <c r="J218" s="7" t="n"/>
      <c r="K218" s="7">
        <f>IF(OR($H218="",$J218=""),"",$H218-$J218)</f>
        <v/>
      </c>
      <c r="L218" s="6" t="n"/>
    </row>
    <row r="219">
      <c r="A219" s="7">
        <f>IF($D219="","",ROW()-2)</f>
        <v/>
      </c>
      <c r="B219" s="7" t="n"/>
      <c r="C219" s="7" t="n"/>
      <c r="D219" s="6" t="n"/>
      <c r="E219" s="7" t="n"/>
      <c r="F219" s="7" t="n"/>
      <c r="G219" s="7" t="n"/>
      <c r="H219" s="7" t="n"/>
      <c r="I219" s="7" t="n"/>
      <c r="J219" s="7" t="n"/>
      <c r="K219" s="7">
        <f>IF(OR($H219="",$J219=""),"",$H219-$J219)</f>
        <v/>
      </c>
      <c r="L219" s="6" t="n"/>
    </row>
    <row r="220">
      <c r="A220" s="7">
        <f>IF($D220="","",ROW()-2)</f>
        <v/>
      </c>
      <c r="B220" s="7" t="n"/>
      <c r="C220" s="7" t="n"/>
      <c r="D220" s="6" t="n"/>
      <c r="E220" s="7" t="n"/>
      <c r="F220" s="7" t="n"/>
      <c r="G220" s="7" t="n"/>
      <c r="H220" s="7" t="n"/>
      <c r="I220" s="7" t="n"/>
      <c r="J220" s="7" t="n"/>
      <c r="K220" s="7">
        <f>IF(OR($H220="",$J220=""),"",$H220-$J220)</f>
        <v/>
      </c>
      <c r="L220" s="6" t="n"/>
    </row>
    <row r="221">
      <c r="A221" s="7">
        <f>IF($D221="","",ROW()-2)</f>
        <v/>
      </c>
      <c r="B221" s="7" t="n"/>
      <c r="C221" s="7" t="n"/>
      <c r="D221" s="6" t="n"/>
      <c r="E221" s="7" t="n"/>
      <c r="F221" s="7" t="n"/>
      <c r="G221" s="7" t="n"/>
      <c r="H221" s="7" t="n"/>
      <c r="I221" s="7" t="n"/>
      <c r="J221" s="7" t="n"/>
      <c r="K221" s="7">
        <f>IF(OR($H221="",$J221=""),"",$H221-$J221)</f>
        <v/>
      </c>
      <c r="L221" s="6" t="n"/>
    </row>
    <row r="222">
      <c r="A222" s="7">
        <f>IF($D222="","",ROW()-2)</f>
        <v/>
      </c>
      <c r="B222" s="7" t="n"/>
      <c r="C222" s="7" t="n"/>
      <c r="D222" s="6" t="n"/>
      <c r="E222" s="7" t="n"/>
      <c r="F222" s="7" t="n"/>
      <c r="G222" s="7" t="n"/>
      <c r="H222" s="7" t="n"/>
      <c r="I222" s="7" t="n"/>
      <c r="J222" s="7" t="n"/>
      <c r="K222" s="7">
        <f>IF(OR($H222="",$J222=""),"",$H222-$J222)</f>
        <v/>
      </c>
      <c r="L222" s="6" t="n"/>
    </row>
    <row r="223">
      <c r="A223" s="7">
        <f>IF($D223="","",ROW()-2)</f>
        <v/>
      </c>
      <c r="B223" s="7" t="n"/>
      <c r="C223" s="7" t="n"/>
      <c r="D223" s="6" t="n"/>
      <c r="E223" s="7" t="n"/>
      <c r="F223" s="7" t="n"/>
      <c r="G223" s="7" t="n"/>
      <c r="H223" s="7" t="n"/>
      <c r="I223" s="7" t="n"/>
      <c r="J223" s="7" t="n"/>
      <c r="K223" s="7">
        <f>IF(OR($H223="",$J223=""),"",$H223-$J223)</f>
        <v/>
      </c>
      <c r="L223" s="6" t="n"/>
    </row>
    <row r="224">
      <c r="A224" s="7">
        <f>IF($D224="","",ROW()-2)</f>
        <v/>
      </c>
      <c r="B224" s="7" t="n"/>
      <c r="C224" s="7" t="n"/>
      <c r="D224" s="6" t="n"/>
      <c r="E224" s="7" t="n"/>
      <c r="F224" s="7" t="n"/>
      <c r="G224" s="7" t="n"/>
      <c r="H224" s="7" t="n"/>
      <c r="I224" s="7" t="n"/>
      <c r="J224" s="7" t="n"/>
      <c r="K224" s="7">
        <f>IF(OR($H224="",$J224=""),"",$H224-$J224)</f>
        <v/>
      </c>
      <c r="L224" s="6" t="n"/>
    </row>
    <row r="225">
      <c r="A225" s="7">
        <f>IF($D225="","",ROW()-2)</f>
        <v/>
      </c>
      <c r="B225" s="7" t="n"/>
      <c r="C225" s="7" t="n"/>
      <c r="D225" s="6" t="n"/>
      <c r="E225" s="7" t="n"/>
      <c r="F225" s="7" t="n"/>
      <c r="G225" s="7" t="n"/>
      <c r="H225" s="7" t="n"/>
      <c r="I225" s="7" t="n"/>
      <c r="J225" s="7" t="n"/>
      <c r="K225" s="7">
        <f>IF(OR($H225="",$J225=""),"",$H225-$J225)</f>
        <v/>
      </c>
      <c r="L225" s="6" t="n"/>
    </row>
    <row r="226">
      <c r="A226" s="7">
        <f>IF($D226="","",ROW()-2)</f>
        <v/>
      </c>
      <c r="B226" s="7" t="n"/>
      <c r="C226" s="7" t="n"/>
      <c r="D226" s="6" t="n"/>
      <c r="E226" s="7" t="n"/>
      <c r="F226" s="7" t="n"/>
      <c r="G226" s="7" t="n"/>
      <c r="H226" s="7" t="n"/>
      <c r="I226" s="7" t="n"/>
      <c r="J226" s="7" t="n"/>
      <c r="K226" s="7">
        <f>IF(OR($H226="",$J226=""),"",$H226-$J226)</f>
        <v/>
      </c>
      <c r="L226" s="6" t="n"/>
    </row>
    <row r="227">
      <c r="A227" s="7">
        <f>IF($D227="","",ROW()-2)</f>
        <v/>
      </c>
      <c r="B227" s="7" t="n"/>
      <c r="C227" s="7" t="n"/>
      <c r="D227" s="6" t="n"/>
      <c r="E227" s="7" t="n"/>
      <c r="F227" s="7" t="n"/>
      <c r="G227" s="7" t="n"/>
      <c r="H227" s="7" t="n"/>
      <c r="I227" s="7" t="n"/>
      <c r="J227" s="7" t="n"/>
      <c r="K227" s="7">
        <f>IF(OR($H227="",$J227=""),"",$H227-$J227)</f>
        <v/>
      </c>
      <c r="L227" s="6" t="n"/>
    </row>
    <row r="228">
      <c r="A228" s="7">
        <f>IF($D228="","",ROW()-2)</f>
        <v/>
      </c>
      <c r="B228" s="7" t="n"/>
      <c r="C228" s="7" t="n"/>
      <c r="D228" s="6" t="n"/>
      <c r="E228" s="7" t="n"/>
      <c r="F228" s="7" t="n"/>
      <c r="G228" s="7" t="n"/>
      <c r="H228" s="7" t="n"/>
      <c r="I228" s="7" t="n"/>
      <c r="J228" s="7" t="n"/>
      <c r="K228" s="7">
        <f>IF(OR($H228="",$J228=""),"",$H228-$J228)</f>
        <v/>
      </c>
      <c r="L228" s="6" t="n"/>
    </row>
    <row r="229">
      <c r="A229" s="7">
        <f>IF($D229="","",ROW()-2)</f>
        <v/>
      </c>
      <c r="B229" s="7" t="n"/>
      <c r="C229" s="7" t="n"/>
      <c r="D229" s="6" t="n"/>
      <c r="E229" s="7" t="n"/>
      <c r="F229" s="7" t="n"/>
      <c r="G229" s="7" t="n"/>
      <c r="H229" s="7" t="n"/>
      <c r="I229" s="7" t="n"/>
      <c r="J229" s="7" t="n"/>
      <c r="K229" s="7">
        <f>IF(OR($H229="",$J229=""),"",$H229-$J229)</f>
        <v/>
      </c>
      <c r="L229" s="6" t="n"/>
    </row>
    <row r="230">
      <c r="A230" s="7">
        <f>IF($D230="","",ROW()-2)</f>
        <v/>
      </c>
      <c r="B230" s="7" t="n"/>
      <c r="C230" s="7" t="n"/>
      <c r="D230" s="6" t="n"/>
      <c r="E230" s="7" t="n"/>
      <c r="F230" s="7" t="n"/>
      <c r="G230" s="7" t="n"/>
      <c r="H230" s="7" t="n"/>
      <c r="I230" s="7" t="n"/>
      <c r="J230" s="7" t="n"/>
      <c r="K230" s="7">
        <f>IF(OR($H230="",$J230=""),"",$H230-$J230)</f>
        <v/>
      </c>
      <c r="L230" s="6" t="n"/>
    </row>
    <row r="231">
      <c r="A231" s="7">
        <f>IF($D231="","",ROW()-2)</f>
        <v/>
      </c>
      <c r="B231" s="7" t="n"/>
      <c r="C231" s="7" t="n"/>
      <c r="D231" s="6" t="n"/>
      <c r="E231" s="7" t="n"/>
      <c r="F231" s="7" t="n"/>
      <c r="G231" s="7" t="n"/>
      <c r="H231" s="7" t="n"/>
      <c r="I231" s="7" t="n"/>
      <c r="J231" s="7" t="n"/>
      <c r="K231" s="7">
        <f>IF(OR($H231="",$J231=""),"",$H231-$J231)</f>
        <v/>
      </c>
      <c r="L231" s="6" t="n"/>
    </row>
    <row r="232">
      <c r="A232" s="7">
        <f>IF($D232="","",ROW()-2)</f>
        <v/>
      </c>
      <c r="B232" s="7" t="n"/>
      <c r="C232" s="7" t="n"/>
      <c r="D232" s="6" t="n"/>
      <c r="E232" s="7" t="n"/>
      <c r="F232" s="7" t="n"/>
      <c r="G232" s="7" t="n"/>
      <c r="H232" s="7" t="n"/>
      <c r="I232" s="7" t="n"/>
      <c r="J232" s="7" t="n"/>
      <c r="K232" s="7">
        <f>IF(OR($H232="",$J232=""),"",$H232-$J232)</f>
        <v/>
      </c>
      <c r="L232" s="6" t="n"/>
    </row>
    <row r="233">
      <c r="A233" s="7">
        <f>IF($D233="","",ROW()-2)</f>
        <v/>
      </c>
      <c r="B233" s="7" t="n"/>
      <c r="C233" s="7" t="n"/>
      <c r="D233" s="6" t="n"/>
      <c r="E233" s="7" t="n"/>
      <c r="F233" s="7" t="n"/>
      <c r="G233" s="7" t="n"/>
      <c r="H233" s="7" t="n"/>
      <c r="I233" s="7" t="n"/>
      <c r="J233" s="7" t="n"/>
      <c r="K233" s="7">
        <f>IF(OR($H233="",$J233=""),"",$H233-$J233)</f>
        <v/>
      </c>
      <c r="L233" s="6" t="n"/>
    </row>
    <row r="234">
      <c r="A234" s="7">
        <f>IF($D234="","",ROW()-2)</f>
        <v/>
      </c>
      <c r="B234" s="7" t="n"/>
      <c r="C234" s="7" t="n"/>
      <c r="D234" s="6" t="n"/>
      <c r="E234" s="7" t="n"/>
      <c r="F234" s="7" t="n"/>
      <c r="G234" s="7" t="n"/>
      <c r="H234" s="7" t="n"/>
      <c r="I234" s="7" t="n"/>
      <c r="J234" s="7" t="n"/>
      <c r="K234" s="7">
        <f>IF(OR($H234="",$J234=""),"",$H234-$J234)</f>
        <v/>
      </c>
      <c r="L234" s="6" t="n"/>
    </row>
    <row r="235">
      <c r="A235" s="7">
        <f>IF($D235="","",ROW()-2)</f>
        <v/>
      </c>
      <c r="B235" s="7" t="n"/>
      <c r="C235" s="7" t="n"/>
      <c r="D235" s="6" t="n"/>
      <c r="E235" s="7" t="n"/>
      <c r="F235" s="7" t="n"/>
      <c r="G235" s="7" t="n"/>
      <c r="H235" s="7" t="n"/>
      <c r="I235" s="7" t="n"/>
      <c r="J235" s="7" t="n"/>
      <c r="K235" s="7">
        <f>IF(OR($H235="",$J235=""),"",$H235-$J235)</f>
        <v/>
      </c>
      <c r="L235" s="6" t="n"/>
    </row>
    <row r="236">
      <c r="A236" s="7">
        <f>IF($D236="","",ROW()-2)</f>
        <v/>
      </c>
      <c r="B236" s="7" t="n"/>
      <c r="C236" s="7" t="n"/>
      <c r="D236" s="6" t="n"/>
      <c r="E236" s="7" t="n"/>
      <c r="F236" s="7" t="n"/>
      <c r="G236" s="7" t="n"/>
      <c r="H236" s="7" t="n"/>
      <c r="I236" s="7" t="n"/>
      <c r="J236" s="7" t="n"/>
      <c r="K236" s="7">
        <f>IF(OR($H236="",$J236=""),"",$H236-$J236)</f>
        <v/>
      </c>
      <c r="L236" s="6" t="n"/>
    </row>
    <row r="237">
      <c r="A237" s="7">
        <f>IF($D237="","",ROW()-2)</f>
        <v/>
      </c>
      <c r="B237" s="7" t="n"/>
      <c r="C237" s="7" t="n"/>
      <c r="D237" s="6" t="n"/>
      <c r="E237" s="7" t="n"/>
      <c r="F237" s="7" t="n"/>
      <c r="G237" s="7" t="n"/>
      <c r="H237" s="7" t="n"/>
      <c r="I237" s="7" t="n"/>
      <c r="J237" s="7" t="n"/>
      <c r="K237" s="7">
        <f>IF(OR($H237="",$J237=""),"",$H237-$J237)</f>
        <v/>
      </c>
      <c r="L237" s="6" t="n"/>
    </row>
    <row r="238">
      <c r="A238" s="7">
        <f>IF($D238="","",ROW()-2)</f>
        <v/>
      </c>
      <c r="B238" s="7" t="n"/>
      <c r="C238" s="7" t="n"/>
      <c r="D238" s="6" t="n"/>
      <c r="E238" s="7" t="n"/>
      <c r="F238" s="7" t="n"/>
      <c r="G238" s="7" t="n"/>
      <c r="H238" s="7" t="n"/>
      <c r="I238" s="7" t="n"/>
      <c r="J238" s="7" t="n"/>
      <c r="K238" s="7">
        <f>IF(OR($H238="",$J238=""),"",$H238-$J238)</f>
        <v/>
      </c>
      <c r="L238" s="6" t="n"/>
    </row>
    <row r="239">
      <c r="A239" s="7">
        <f>IF($D239="","",ROW()-2)</f>
        <v/>
      </c>
      <c r="B239" s="7" t="n"/>
      <c r="C239" s="7" t="n"/>
      <c r="D239" s="6" t="n"/>
      <c r="E239" s="7" t="n"/>
      <c r="F239" s="7" t="n"/>
      <c r="G239" s="7" t="n"/>
      <c r="H239" s="7" t="n"/>
      <c r="I239" s="7" t="n"/>
      <c r="J239" s="7" t="n"/>
      <c r="K239" s="7">
        <f>IF(OR($H239="",$J239=""),"",$H239-$J239)</f>
        <v/>
      </c>
      <c r="L239" s="6" t="n"/>
    </row>
    <row r="240">
      <c r="A240" s="7">
        <f>IF($D240="","",ROW()-2)</f>
        <v/>
      </c>
      <c r="B240" s="7" t="n"/>
      <c r="C240" s="7" t="n"/>
      <c r="D240" s="6" t="n"/>
      <c r="E240" s="7" t="n"/>
      <c r="F240" s="7" t="n"/>
      <c r="G240" s="7" t="n"/>
      <c r="H240" s="7" t="n"/>
      <c r="I240" s="7" t="n"/>
      <c r="J240" s="7" t="n"/>
      <c r="K240" s="7">
        <f>IF(OR($H240="",$J240=""),"",$H240-$J240)</f>
        <v/>
      </c>
      <c r="L240" s="6" t="n"/>
    </row>
    <row r="241">
      <c r="A241" s="7">
        <f>IF($D241="","",ROW()-2)</f>
        <v/>
      </c>
      <c r="B241" s="7" t="n"/>
      <c r="C241" s="7" t="n"/>
      <c r="D241" s="6" t="n"/>
      <c r="E241" s="7" t="n"/>
      <c r="F241" s="7" t="n"/>
      <c r="G241" s="7" t="n"/>
      <c r="H241" s="7" t="n"/>
      <c r="I241" s="7" t="n"/>
      <c r="J241" s="7" t="n"/>
      <c r="K241" s="7">
        <f>IF(OR($H241="",$J241=""),"",$H241-$J241)</f>
        <v/>
      </c>
      <c r="L241" s="6" t="n"/>
    </row>
    <row r="242">
      <c r="A242" s="7">
        <f>IF($D242="","",ROW()-2)</f>
        <v/>
      </c>
      <c r="B242" s="7" t="n"/>
      <c r="C242" s="7" t="n"/>
      <c r="D242" s="6" t="n"/>
      <c r="E242" s="7" t="n"/>
      <c r="F242" s="7" t="n"/>
      <c r="G242" s="7" t="n"/>
      <c r="H242" s="7" t="n"/>
      <c r="I242" s="7" t="n"/>
      <c r="J242" s="7" t="n"/>
      <c r="K242" s="7">
        <f>IF(OR($H242="",$J242=""),"",$H242-$J242)</f>
        <v/>
      </c>
      <c r="L242" s="6" t="n"/>
    </row>
    <row r="243">
      <c r="A243" s="7">
        <f>IF($D243="","",ROW()-2)</f>
        <v/>
      </c>
      <c r="B243" s="7" t="n"/>
      <c r="C243" s="7" t="n"/>
      <c r="D243" s="6" t="n"/>
      <c r="E243" s="7" t="n"/>
      <c r="F243" s="7" t="n"/>
      <c r="G243" s="7" t="n"/>
      <c r="H243" s="7" t="n"/>
      <c r="I243" s="7" t="n"/>
      <c r="J243" s="7" t="n"/>
      <c r="K243" s="7">
        <f>IF(OR($H243="",$J243=""),"",$H243-$J243)</f>
        <v/>
      </c>
      <c r="L243" s="6" t="n"/>
    </row>
    <row r="244">
      <c r="A244" s="7">
        <f>IF($D244="","",ROW()-2)</f>
        <v/>
      </c>
      <c r="B244" s="7" t="n"/>
      <c r="C244" s="7" t="n"/>
      <c r="D244" s="6" t="n"/>
      <c r="E244" s="7" t="n"/>
      <c r="F244" s="7" t="n"/>
      <c r="G244" s="7" t="n"/>
      <c r="H244" s="7" t="n"/>
      <c r="I244" s="7" t="n"/>
      <c r="J244" s="7" t="n"/>
      <c r="K244" s="7">
        <f>IF(OR($H244="",$J244=""),"",$H244-$J244)</f>
        <v/>
      </c>
      <c r="L244" s="6" t="n"/>
    </row>
    <row r="245">
      <c r="A245" s="7">
        <f>IF($D245="","",ROW()-2)</f>
        <v/>
      </c>
      <c r="B245" s="7" t="n"/>
      <c r="C245" s="7" t="n"/>
      <c r="D245" s="6" t="n"/>
      <c r="E245" s="7" t="n"/>
      <c r="F245" s="7" t="n"/>
      <c r="G245" s="7" t="n"/>
      <c r="H245" s="7" t="n"/>
      <c r="I245" s="7" t="n"/>
      <c r="J245" s="7" t="n"/>
      <c r="K245" s="7">
        <f>IF(OR($H245="",$J245=""),"",$H245-$J245)</f>
        <v/>
      </c>
      <c r="L245" s="6" t="n"/>
    </row>
    <row r="246">
      <c r="A246" s="7">
        <f>IF($D246="","",ROW()-2)</f>
        <v/>
      </c>
      <c r="B246" s="7" t="n"/>
      <c r="C246" s="7" t="n"/>
      <c r="D246" s="6" t="n"/>
      <c r="E246" s="7" t="n"/>
      <c r="F246" s="7" t="n"/>
      <c r="G246" s="7" t="n"/>
      <c r="H246" s="7" t="n"/>
      <c r="I246" s="7" t="n"/>
      <c r="J246" s="7" t="n"/>
      <c r="K246" s="7">
        <f>IF(OR($H246="",$J246=""),"",$H246-$J246)</f>
        <v/>
      </c>
      <c r="L246" s="6" t="n"/>
    </row>
    <row r="247">
      <c r="A247" s="7">
        <f>IF($D247="","",ROW()-2)</f>
        <v/>
      </c>
      <c r="B247" s="7" t="n"/>
      <c r="C247" s="7" t="n"/>
      <c r="D247" s="6" t="n"/>
      <c r="E247" s="7" t="n"/>
      <c r="F247" s="7" t="n"/>
      <c r="G247" s="7" t="n"/>
      <c r="H247" s="7" t="n"/>
      <c r="I247" s="7" t="n"/>
      <c r="J247" s="7" t="n"/>
      <c r="K247" s="7">
        <f>IF(OR($H247="",$J247=""),"",$H247-$J247)</f>
        <v/>
      </c>
      <c r="L247" s="6" t="n"/>
    </row>
    <row r="248">
      <c r="A248" s="7">
        <f>IF($D248="","",ROW()-2)</f>
        <v/>
      </c>
      <c r="B248" s="7" t="n"/>
      <c r="C248" s="7" t="n"/>
      <c r="D248" s="6" t="n"/>
      <c r="E248" s="7" t="n"/>
      <c r="F248" s="7" t="n"/>
      <c r="G248" s="7" t="n"/>
      <c r="H248" s="7" t="n"/>
      <c r="I248" s="7" t="n"/>
      <c r="J248" s="7" t="n"/>
      <c r="K248" s="7">
        <f>IF(OR($H248="",$J248=""),"",$H248-$J248)</f>
        <v/>
      </c>
      <c r="L248" s="6" t="n"/>
    </row>
    <row r="249">
      <c r="A249" s="7">
        <f>IF($D249="","",ROW()-2)</f>
        <v/>
      </c>
      <c r="B249" s="7" t="n"/>
      <c r="C249" s="7" t="n"/>
      <c r="D249" s="6" t="n"/>
      <c r="E249" s="7" t="n"/>
      <c r="F249" s="7" t="n"/>
      <c r="G249" s="7" t="n"/>
      <c r="H249" s="7" t="n"/>
      <c r="I249" s="7" t="n"/>
      <c r="J249" s="7" t="n"/>
      <c r="K249" s="7">
        <f>IF(OR($H249="",$J249=""),"",$H249-$J249)</f>
        <v/>
      </c>
      <c r="L249" s="6" t="n"/>
    </row>
    <row r="250">
      <c r="A250" s="7">
        <f>IF($D250="","",ROW()-2)</f>
        <v/>
      </c>
      <c r="B250" s="7" t="n"/>
      <c r="C250" s="7" t="n"/>
      <c r="D250" s="6" t="n"/>
      <c r="E250" s="7" t="n"/>
      <c r="F250" s="7" t="n"/>
      <c r="G250" s="7" t="n"/>
      <c r="H250" s="7" t="n"/>
      <c r="I250" s="7" t="n"/>
      <c r="J250" s="7" t="n"/>
      <c r="K250" s="7">
        <f>IF(OR($H250="",$J250=""),"",$H250-$J250)</f>
        <v/>
      </c>
      <c r="L250" s="6" t="n"/>
    </row>
    <row r="251">
      <c r="A251" s="7">
        <f>IF($D251="","",ROW()-2)</f>
        <v/>
      </c>
      <c r="B251" s="7" t="n"/>
      <c r="C251" s="7" t="n"/>
      <c r="D251" s="6" t="n"/>
      <c r="E251" s="7" t="n"/>
      <c r="F251" s="7" t="n"/>
      <c r="G251" s="7" t="n"/>
      <c r="H251" s="7" t="n"/>
      <c r="I251" s="7" t="n"/>
      <c r="J251" s="7" t="n"/>
      <c r="K251" s="7">
        <f>IF(OR($H251="",$J251=""),"",$H251-$J251)</f>
        <v/>
      </c>
      <c r="L251" s="6" t="n"/>
    </row>
    <row r="252">
      <c r="A252" s="7">
        <f>IF($D252="","",ROW()-2)</f>
        <v/>
      </c>
      <c r="B252" s="7" t="n"/>
      <c r="C252" s="7" t="n"/>
      <c r="D252" s="6" t="n"/>
      <c r="E252" s="7" t="n"/>
      <c r="F252" s="7" t="n"/>
      <c r="G252" s="7" t="n"/>
      <c r="H252" s="7" t="n"/>
      <c r="I252" s="7" t="n"/>
      <c r="J252" s="7" t="n"/>
      <c r="K252" s="7">
        <f>IF(OR($H252="",$J252=""),"",$H252-$J252)</f>
        <v/>
      </c>
      <c r="L252" s="6" t="n"/>
    </row>
    <row r="253">
      <c r="A253" s="7">
        <f>IF($D253="","",ROW()-2)</f>
        <v/>
      </c>
      <c r="B253" s="7" t="n"/>
      <c r="C253" s="7" t="n"/>
      <c r="D253" s="6" t="n"/>
      <c r="E253" s="7" t="n"/>
      <c r="F253" s="7" t="n"/>
      <c r="G253" s="7" t="n"/>
      <c r="H253" s="7" t="n"/>
      <c r="I253" s="7" t="n"/>
      <c r="J253" s="7" t="n"/>
      <c r="K253" s="7">
        <f>IF(OR($H253="",$J253=""),"",$H253-$J253)</f>
        <v/>
      </c>
      <c r="L253" s="6" t="n"/>
    </row>
    <row r="254">
      <c r="A254" s="7">
        <f>IF($D254="","",ROW()-2)</f>
        <v/>
      </c>
      <c r="B254" s="7" t="n"/>
      <c r="C254" s="7" t="n"/>
      <c r="D254" s="6" t="n"/>
      <c r="E254" s="7" t="n"/>
      <c r="F254" s="7" t="n"/>
      <c r="G254" s="7" t="n"/>
      <c r="H254" s="7" t="n"/>
      <c r="I254" s="7" t="n"/>
      <c r="J254" s="7" t="n"/>
      <c r="K254" s="7">
        <f>IF(OR($H254="",$J254=""),"",$H254-$J254)</f>
        <v/>
      </c>
      <c r="L254" s="6" t="n"/>
    </row>
    <row r="255">
      <c r="A255" s="7">
        <f>IF($D255="","",ROW()-2)</f>
        <v/>
      </c>
      <c r="B255" s="7" t="n"/>
      <c r="C255" s="7" t="n"/>
      <c r="D255" s="6" t="n"/>
      <c r="E255" s="7" t="n"/>
      <c r="F255" s="7" t="n"/>
      <c r="G255" s="7" t="n"/>
      <c r="H255" s="7" t="n"/>
      <c r="I255" s="7" t="n"/>
      <c r="J255" s="7" t="n"/>
      <c r="K255" s="7">
        <f>IF(OR($H255="",$J255=""),"",$H255-$J255)</f>
        <v/>
      </c>
      <c r="L255" s="6" t="n"/>
    </row>
    <row r="256">
      <c r="A256" s="7">
        <f>IF($D256="","",ROW()-2)</f>
        <v/>
      </c>
      <c r="B256" s="7" t="n"/>
      <c r="C256" s="7" t="n"/>
      <c r="D256" s="6" t="n"/>
      <c r="E256" s="7" t="n"/>
      <c r="F256" s="7" t="n"/>
      <c r="G256" s="7" t="n"/>
      <c r="H256" s="7" t="n"/>
      <c r="I256" s="7" t="n"/>
      <c r="J256" s="7" t="n"/>
      <c r="K256" s="7">
        <f>IF(OR($H256="",$J256=""),"",$H256-$J256)</f>
        <v/>
      </c>
      <c r="L256" s="6" t="n"/>
    </row>
    <row r="257">
      <c r="A257" s="7">
        <f>IF($D257="","",ROW()-2)</f>
        <v/>
      </c>
      <c r="B257" s="7" t="n"/>
      <c r="C257" s="7" t="n"/>
      <c r="D257" s="6" t="n"/>
      <c r="E257" s="7" t="n"/>
      <c r="F257" s="7" t="n"/>
      <c r="G257" s="7" t="n"/>
      <c r="H257" s="7" t="n"/>
      <c r="I257" s="7" t="n"/>
      <c r="J257" s="7" t="n"/>
      <c r="K257" s="7">
        <f>IF(OR($H257="",$J257=""),"",$H257-$J257)</f>
        <v/>
      </c>
      <c r="L257" s="6" t="n"/>
    </row>
    <row r="258">
      <c r="A258" s="7">
        <f>IF($D258="","",ROW()-2)</f>
        <v/>
      </c>
      <c r="B258" s="7" t="n"/>
      <c r="C258" s="7" t="n"/>
      <c r="D258" s="6" t="n"/>
      <c r="E258" s="7" t="n"/>
      <c r="F258" s="7" t="n"/>
      <c r="G258" s="7" t="n"/>
      <c r="H258" s="7" t="n"/>
      <c r="I258" s="7" t="n"/>
      <c r="J258" s="7" t="n"/>
      <c r="K258" s="7">
        <f>IF(OR($H258="",$J258=""),"",$H258-$J258)</f>
        <v/>
      </c>
      <c r="L258" s="6" t="n"/>
    </row>
    <row r="259">
      <c r="A259" s="7">
        <f>IF($D259="","",ROW()-2)</f>
        <v/>
      </c>
      <c r="B259" s="7" t="n"/>
      <c r="C259" s="7" t="n"/>
      <c r="D259" s="6" t="n"/>
      <c r="E259" s="7" t="n"/>
      <c r="F259" s="7" t="n"/>
      <c r="G259" s="7" t="n"/>
      <c r="H259" s="7" t="n"/>
      <c r="I259" s="7" t="n"/>
      <c r="J259" s="7" t="n"/>
      <c r="K259" s="7">
        <f>IF(OR($H259="",$J259=""),"",$H259-$J259)</f>
        <v/>
      </c>
      <c r="L259" s="6" t="n"/>
    </row>
    <row r="260">
      <c r="A260" s="7">
        <f>IF($D260="","",ROW()-2)</f>
        <v/>
      </c>
      <c r="B260" s="7" t="n"/>
      <c r="C260" s="7" t="n"/>
      <c r="D260" s="6" t="n"/>
      <c r="E260" s="7" t="n"/>
      <c r="F260" s="7" t="n"/>
      <c r="G260" s="7" t="n"/>
      <c r="H260" s="7" t="n"/>
      <c r="I260" s="7" t="n"/>
      <c r="J260" s="7" t="n"/>
      <c r="K260" s="7">
        <f>IF(OR($H260="",$J260=""),"",$H260-$J260)</f>
        <v/>
      </c>
      <c r="L260" s="6" t="n"/>
    </row>
    <row r="261">
      <c r="A261" s="7">
        <f>IF($D261="","",ROW()-2)</f>
        <v/>
      </c>
      <c r="B261" s="7" t="n"/>
      <c r="C261" s="7" t="n"/>
      <c r="D261" s="6" t="n"/>
      <c r="E261" s="7" t="n"/>
      <c r="F261" s="7" t="n"/>
      <c r="G261" s="7" t="n"/>
      <c r="H261" s="7" t="n"/>
      <c r="I261" s="7" t="n"/>
      <c r="J261" s="7" t="n"/>
      <c r="K261" s="7">
        <f>IF(OR($H261="",$J261=""),"",$H261-$J261)</f>
        <v/>
      </c>
      <c r="L261" s="6" t="n"/>
    </row>
    <row r="262">
      <c r="A262" s="7">
        <f>IF($D262="","",ROW()-2)</f>
        <v/>
      </c>
      <c r="B262" s="7" t="n"/>
      <c r="C262" s="7" t="n"/>
      <c r="D262" s="6" t="n"/>
      <c r="E262" s="7" t="n"/>
      <c r="F262" s="7" t="n"/>
      <c r="G262" s="7" t="n"/>
      <c r="H262" s="7" t="n"/>
      <c r="I262" s="7" t="n"/>
      <c r="J262" s="7" t="n"/>
      <c r="K262" s="7">
        <f>IF(OR($H262="",$J262=""),"",$H262-$J262)</f>
        <v/>
      </c>
      <c r="L262" s="6" t="n"/>
    </row>
    <row r="263">
      <c r="A263" s="7">
        <f>IF($D263="","",ROW()-2)</f>
        <v/>
      </c>
      <c r="B263" s="7" t="n"/>
      <c r="C263" s="7" t="n"/>
      <c r="D263" s="6" t="n"/>
      <c r="E263" s="7" t="n"/>
      <c r="F263" s="7" t="n"/>
      <c r="G263" s="7" t="n"/>
      <c r="H263" s="7" t="n"/>
      <c r="I263" s="7" t="n"/>
      <c r="J263" s="7" t="n"/>
      <c r="K263" s="7">
        <f>IF(OR($H263="",$J263=""),"",$H263-$J263)</f>
        <v/>
      </c>
      <c r="L263" s="6" t="n"/>
    </row>
    <row r="264">
      <c r="A264" s="7">
        <f>IF($D264="","",ROW()-2)</f>
        <v/>
      </c>
      <c r="B264" s="7" t="n"/>
      <c r="C264" s="7" t="n"/>
      <c r="D264" s="6" t="n"/>
      <c r="E264" s="7" t="n"/>
      <c r="F264" s="7" t="n"/>
      <c r="G264" s="7" t="n"/>
      <c r="H264" s="7" t="n"/>
      <c r="I264" s="7" t="n"/>
      <c r="J264" s="7" t="n"/>
      <c r="K264" s="7">
        <f>IF(OR($H264="",$J264=""),"",$H264-$J264)</f>
        <v/>
      </c>
      <c r="L264" s="6" t="n"/>
    </row>
    <row r="265">
      <c r="A265" s="7">
        <f>IF($D265="","",ROW()-2)</f>
        <v/>
      </c>
      <c r="B265" s="7" t="n"/>
      <c r="C265" s="7" t="n"/>
      <c r="D265" s="6" t="n"/>
      <c r="E265" s="7" t="n"/>
      <c r="F265" s="7" t="n"/>
      <c r="G265" s="7" t="n"/>
      <c r="H265" s="7" t="n"/>
      <c r="I265" s="7" t="n"/>
      <c r="J265" s="7" t="n"/>
      <c r="K265" s="7">
        <f>IF(OR($H265="",$J265=""),"",$H265-$J265)</f>
        <v/>
      </c>
      <c r="L265" s="6" t="n"/>
    </row>
    <row r="266">
      <c r="A266" s="7">
        <f>IF($D266="","",ROW()-2)</f>
        <v/>
      </c>
      <c r="B266" s="7" t="n"/>
      <c r="C266" s="7" t="n"/>
      <c r="D266" s="6" t="n"/>
      <c r="E266" s="7" t="n"/>
      <c r="F266" s="7" t="n"/>
      <c r="G266" s="7" t="n"/>
      <c r="H266" s="7" t="n"/>
      <c r="I266" s="7" t="n"/>
      <c r="J266" s="7" t="n"/>
      <c r="K266" s="7">
        <f>IF(OR($H266="",$J266=""),"",$H266-$J266)</f>
        <v/>
      </c>
      <c r="L266" s="6" t="n"/>
    </row>
    <row r="267">
      <c r="A267" s="7">
        <f>IF($D267="","",ROW()-2)</f>
        <v/>
      </c>
      <c r="B267" s="7" t="n"/>
      <c r="C267" s="7" t="n"/>
      <c r="D267" s="6" t="n"/>
      <c r="E267" s="7" t="n"/>
      <c r="F267" s="7" t="n"/>
      <c r="G267" s="7" t="n"/>
      <c r="H267" s="7" t="n"/>
      <c r="I267" s="7" t="n"/>
      <c r="J267" s="7" t="n"/>
      <c r="K267" s="7">
        <f>IF(OR($H267="",$J267=""),"",$H267-$J267)</f>
        <v/>
      </c>
      <c r="L267" s="6" t="n"/>
    </row>
    <row r="268">
      <c r="A268" s="7">
        <f>IF($D268="","",ROW()-2)</f>
        <v/>
      </c>
      <c r="B268" s="7" t="n"/>
      <c r="C268" s="7" t="n"/>
      <c r="D268" s="6" t="n"/>
      <c r="E268" s="7" t="n"/>
      <c r="F268" s="7" t="n"/>
      <c r="G268" s="7" t="n"/>
      <c r="H268" s="7" t="n"/>
      <c r="I268" s="7" t="n"/>
      <c r="J268" s="7" t="n"/>
      <c r="K268" s="7">
        <f>IF(OR($H268="",$J268=""),"",$H268-$J268)</f>
        <v/>
      </c>
      <c r="L268" s="6" t="n"/>
    </row>
    <row r="269">
      <c r="A269" s="7">
        <f>IF($D269="","",ROW()-2)</f>
        <v/>
      </c>
      <c r="B269" s="7" t="n"/>
      <c r="C269" s="7" t="n"/>
      <c r="D269" s="6" t="n"/>
      <c r="E269" s="7" t="n"/>
      <c r="F269" s="7" t="n"/>
      <c r="G269" s="7" t="n"/>
      <c r="H269" s="7" t="n"/>
      <c r="I269" s="7" t="n"/>
      <c r="J269" s="7" t="n"/>
      <c r="K269" s="7">
        <f>IF(OR($H269="",$J269=""),"",$H269-$J269)</f>
        <v/>
      </c>
      <c r="L269" s="6" t="n"/>
    </row>
    <row r="270">
      <c r="A270" s="7">
        <f>IF($D270="","",ROW()-2)</f>
        <v/>
      </c>
      <c r="B270" s="7" t="n"/>
      <c r="C270" s="7" t="n"/>
      <c r="D270" s="6" t="n"/>
      <c r="E270" s="7" t="n"/>
      <c r="F270" s="7" t="n"/>
      <c r="G270" s="7" t="n"/>
      <c r="H270" s="7" t="n"/>
      <c r="I270" s="7" t="n"/>
      <c r="J270" s="7" t="n"/>
      <c r="K270" s="7">
        <f>IF(OR($H270="",$J270=""),"",$H270-$J270)</f>
        <v/>
      </c>
      <c r="L270" s="6" t="n"/>
    </row>
    <row r="271">
      <c r="A271" s="7">
        <f>IF($D271="","",ROW()-2)</f>
        <v/>
      </c>
      <c r="B271" s="7" t="n"/>
      <c r="C271" s="7" t="n"/>
      <c r="D271" s="6" t="n"/>
      <c r="E271" s="7" t="n"/>
      <c r="F271" s="7" t="n"/>
      <c r="G271" s="7" t="n"/>
      <c r="H271" s="7" t="n"/>
      <c r="I271" s="7" t="n"/>
      <c r="J271" s="7" t="n"/>
      <c r="K271" s="7">
        <f>IF(OR($H271="",$J271=""),"",$H271-$J271)</f>
        <v/>
      </c>
      <c r="L271" s="6" t="n"/>
    </row>
    <row r="272">
      <c r="A272" s="7">
        <f>IF($D272="","",ROW()-2)</f>
        <v/>
      </c>
      <c r="B272" s="7" t="n"/>
      <c r="C272" s="7" t="n"/>
      <c r="D272" s="6" t="n"/>
      <c r="E272" s="7" t="n"/>
      <c r="F272" s="7" t="n"/>
      <c r="G272" s="7" t="n"/>
      <c r="H272" s="7" t="n"/>
      <c r="I272" s="7" t="n"/>
      <c r="J272" s="7" t="n"/>
      <c r="K272" s="7">
        <f>IF(OR($H272="",$J272=""),"",$H272-$J272)</f>
        <v/>
      </c>
      <c r="L272" s="6" t="n"/>
    </row>
    <row r="273">
      <c r="A273" s="7">
        <f>IF($D273="","",ROW()-2)</f>
        <v/>
      </c>
      <c r="B273" s="7" t="n"/>
      <c r="C273" s="7" t="n"/>
      <c r="D273" s="6" t="n"/>
      <c r="E273" s="7" t="n"/>
      <c r="F273" s="7" t="n"/>
      <c r="G273" s="7" t="n"/>
      <c r="H273" s="7" t="n"/>
      <c r="I273" s="7" t="n"/>
      <c r="J273" s="7" t="n"/>
      <c r="K273" s="7">
        <f>IF(OR($H273="",$J273=""),"",$H273-$J273)</f>
        <v/>
      </c>
      <c r="L273" s="6" t="n"/>
    </row>
    <row r="274">
      <c r="A274" s="7">
        <f>IF($D274="","",ROW()-2)</f>
        <v/>
      </c>
      <c r="B274" s="7" t="n"/>
      <c r="C274" s="7" t="n"/>
      <c r="D274" s="6" t="n"/>
      <c r="E274" s="7" t="n"/>
      <c r="F274" s="7" t="n"/>
      <c r="G274" s="7" t="n"/>
      <c r="H274" s="7" t="n"/>
      <c r="I274" s="7" t="n"/>
      <c r="J274" s="7" t="n"/>
      <c r="K274" s="7">
        <f>IF(OR($H274="",$J274=""),"",$H274-$J274)</f>
        <v/>
      </c>
      <c r="L274" s="6" t="n"/>
    </row>
    <row r="275">
      <c r="A275" s="7">
        <f>IF($D275="","",ROW()-2)</f>
        <v/>
      </c>
      <c r="B275" s="7" t="n"/>
      <c r="C275" s="7" t="n"/>
      <c r="D275" s="6" t="n"/>
      <c r="E275" s="7" t="n"/>
      <c r="F275" s="7" t="n"/>
      <c r="G275" s="7" t="n"/>
      <c r="H275" s="7" t="n"/>
      <c r="I275" s="7" t="n"/>
      <c r="J275" s="7" t="n"/>
      <c r="K275" s="7">
        <f>IF(OR($H275="",$J275=""),"",$H275-$J275)</f>
        <v/>
      </c>
      <c r="L275" s="6" t="n"/>
    </row>
    <row r="276">
      <c r="A276" s="7">
        <f>IF($D276="","",ROW()-2)</f>
        <v/>
      </c>
      <c r="B276" s="7" t="n"/>
      <c r="C276" s="7" t="n"/>
      <c r="D276" s="6" t="n"/>
      <c r="E276" s="7" t="n"/>
      <c r="F276" s="7" t="n"/>
      <c r="G276" s="7" t="n"/>
      <c r="H276" s="7" t="n"/>
      <c r="I276" s="7" t="n"/>
      <c r="J276" s="7" t="n"/>
      <c r="K276" s="7">
        <f>IF(OR($H276="",$J276=""),"",$H276-$J276)</f>
        <v/>
      </c>
      <c r="L276" s="6" t="n"/>
    </row>
    <row r="277">
      <c r="A277" s="7">
        <f>IF($D277="","",ROW()-2)</f>
        <v/>
      </c>
      <c r="B277" s="7" t="n"/>
      <c r="C277" s="7" t="n"/>
      <c r="D277" s="6" t="n"/>
      <c r="E277" s="7" t="n"/>
      <c r="F277" s="7" t="n"/>
      <c r="G277" s="7" t="n"/>
      <c r="H277" s="7" t="n"/>
      <c r="I277" s="7" t="n"/>
      <c r="J277" s="7" t="n"/>
      <c r="K277" s="7">
        <f>IF(OR($H277="",$J277=""),"",$H277-$J277)</f>
        <v/>
      </c>
      <c r="L277" s="6" t="n"/>
    </row>
    <row r="278">
      <c r="A278" s="7">
        <f>IF($D278="","",ROW()-2)</f>
        <v/>
      </c>
      <c r="B278" s="7" t="n"/>
      <c r="C278" s="7" t="n"/>
      <c r="D278" s="6" t="n"/>
      <c r="E278" s="7" t="n"/>
      <c r="F278" s="7" t="n"/>
      <c r="G278" s="7" t="n"/>
      <c r="H278" s="7" t="n"/>
      <c r="I278" s="7" t="n"/>
      <c r="J278" s="7" t="n"/>
      <c r="K278" s="7">
        <f>IF(OR($H278="",$J278=""),"",$H278-$J278)</f>
        <v/>
      </c>
      <c r="L278" s="6" t="n"/>
    </row>
    <row r="279">
      <c r="A279" s="7">
        <f>IF($D279="","",ROW()-2)</f>
        <v/>
      </c>
      <c r="B279" s="7" t="n"/>
      <c r="C279" s="7" t="n"/>
      <c r="D279" s="6" t="n"/>
      <c r="E279" s="7" t="n"/>
      <c r="F279" s="7" t="n"/>
      <c r="G279" s="7" t="n"/>
      <c r="H279" s="7" t="n"/>
      <c r="I279" s="7" t="n"/>
      <c r="J279" s="7" t="n"/>
      <c r="K279" s="7">
        <f>IF(OR($H279="",$J279=""),"",$H279-$J279)</f>
        <v/>
      </c>
      <c r="L279" s="6" t="n"/>
    </row>
    <row r="280">
      <c r="A280" s="7">
        <f>IF($D280="","",ROW()-2)</f>
        <v/>
      </c>
      <c r="B280" s="7" t="n"/>
      <c r="C280" s="7" t="n"/>
      <c r="D280" s="6" t="n"/>
      <c r="E280" s="7" t="n"/>
      <c r="F280" s="7" t="n"/>
      <c r="G280" s="7" t="n"/>
      <c r="H280" s="7" t="n"/>
      <c r="I280" s="7" t="n"/>
      <c r="J280" s="7" t="n"/>
      <c r="K280" s="7">
        <f>IF(OR($H280="",$J280=""),"",$H280-$J280)</f>
        <v/>
      </c>
      <c r="L280" s="6" t="n"/>
    </row>
    <row r="281">
      <c r="A281" s="7">
        <f>IF($D281="","",ROW()-2)</f>
        <v/>
      </c>
      <c r="B281" s="7" t="n"/>
      <c r="C281" s="7" t="n"/>
      <c r="D281" s="6" t="n"/>
      <c r="E281" s="7" t="n"/>
      <c r="F281" s="7" t="n"/>
      <c r="G281" s="7" t="n"/>
      <c r="H281" s="7" t="n"/>
      <c r="I281" s="7" t="n"/>
      <c r="J281" s="7" t="n"/>
      <c r="K281" s="7">
        <f>IF(OR($H281="",$J281=""),"",$H281-$J281)</f>
        <v/>
      </c>
      <c r="L281" s="6" t="n"/>
    </row>
    <row r="282">
      <c r="A282" s="7">
        <f>IF($D282="","",ROW()-2)</f>
        <v/>
      </c>
      <c r="B282" s="7" t="n"/>
      <c r="C282" s="7" t="n"/>
      <c r="D282" s="6" t="n"/>
      <c r="E282" s="7" t="n"/>
      <c r="F282" s="7" t="n"/>
      <c r="G282" s="7" t="n"/>
      <c r="H282" s="7" t="n"/>
      <c r="I282" s="7" t="n"/>
      <c r="J282" s="7" t="n"/>
      <c r="K282" s="7">
        <f>IF(OR($H282="",$J282=""),"",$H282-$J282)</f>
        <v/>
      </c>
      <c r="L282" s="6" t="n"/>
    </row>
    <row r="283">
      <c r="A283" s="7">
        <f>IF($D283="","",ROW()-2)</f>
        <v/>
      </c>
      <c r="B283" s="7" t="n"/>
      <c r="C283" s="7" t="n"/>
      <c r="D283" s="6" t="n"/>
      <c r="E283" s="7" t="n"/>
      <c r="F283" s="7" t="n"/>
      <c r="G283" s="7" t="n"/>
      <c r="H283" s="7" t="n"/>
      <c r="I283" s="7" t="n"/>
      <c r="J283" s="7" t="n"/>
      <c r="K283" s="7">
        <f>IF(OR($H283="",$J283=""),"",$H283-$J283)</f>
        <v/>
      </c>
      <c r="L283" s="6" t="n"/>
    </row>
    <row r="284">
      <c r="A284" s="7">
        <f>IF($D284="","",ROW()-2)</f>
        <v/>
      </c>
      <c r="B284" s="7" t="n"/>
      <c r="C284" s="7" t="n"/>
      <c r="D284" s="6" t="n"/>
      <c r="E284" s="7" t="n"/>
      <c r="F284" s="7" t="n"/>
      <c r="G284" s="7" t="n"/>
      <c r="H284" s="7" t="n"/>
      <c r="I284" s="7" t="n"/>
      <c r="J284" s="7" t="n"/>
      <c r="K284" s="7">
        <f>IF(OR($H284="",$J284=""),"",$H284-$J284)</f>
        <v/>
      </c>
      <c r="L284" s="6" t="n"/>
    </row>
    <row r="285">
      <c r="A285" s="7">
        <f>IF($D285="","",ROW()-2)</f>
        <v/>
      </c>
      <c r="B285" s="7" t="n"/>
      <c r="C285" s="7" t="n"/>
      <c r="D285" s="6" t="n"/>
      <c r="E285" s="7" t="n"/>
      <c r="F285" s="7" t="n"/>
      <c r="G285" s="7" t="n"/>
      <c r="H285" s="7" t="n"/>
      <c r="I285" s="7" t="n"/>
      <c r="J285" s="7" t="n"/>
      <c r="K285" s="7">
        <f>IF(OR($H285="",$J285=""),"",$H285-$J285)</f>
        <v/>
      </c>
      <c r="L285" s="6" t="n"/>
    </row>
    <row r="286">
      <c r="A286" s="7">
        <f>IF($D286="","",ROW()-2)</f>
        <v/>
      </c>
      <c r="B286" s="7" t="n"/>
      <c r="C286" s="7" t="n"/>
      <c r="D286" s="6" t="n"/>
      <c r="E286" s="7" t="n"/>
      <c r="F286" s="7" t="n"/>
      <c r="G286" s="7" t="n"/>
      <c r="H286" s="7" t="n"/>
      <c r="I286" s="7" t="n"/>
      <c r="J286" s="7" t="n"/>
      <c r="K286" s="7">
        <f>IF(OR($H286="",$J286=""),"",$H286-$J286)</f>
        <v/>
      </c>
      <c r="L286" s="6" t="n"/>
    </row>
    <row r="287">
      <c r="A287" s="7">
        <f>IF($D287="","",ROW()-2)</f>
        <v/>
      </c>
      <c r="B287" s="7" t="n"/>
      <c r="C287" s="7" t="n"/>
      <c r="D287" s="6" t="n"/>
      <c r="E287" s="7" t="n"/>
      <c r="F287" s="7" t="n"/>
      <c r="G287" s="7" t="n"/>
      <c r="H287" s="7" t="n"/>
      <c r="I287" s="7" t="n"/>
      <c r="J287" s="7" t="n"/>
      <c r="K287" s="7">
        <f>IF(OR($H287="",$J287=""),"",$H287-$J287)</f>
        <v/>
      </c>
      <c r="L287" s="6" t="n"/>
    </row>
    <row r="288">
      <c r="A288" s="7">
        <f>IF($D288="","",ROW()-2)</f>
        <v/>
      </c>
      <c r="B288" s="7" t="n"/>
      <c r="C288" s="7" t="n"/>
      <c r="D288" s="6" t="n"/>
      <c r="E288" s="7" t="n"/>
      <c r="F288" s="7" t="n"/>
      <c r="G288" s="7" t="n"/>
      <c r="H288" s="7" t="n"/>
      <c r="I288" s="7" t="n"/>
      <c r="J288" s="7" t="n"/>
      <c r="K288" s="7">
        <f>IF(OR($H288="",$J288=""),"",$H288-$J288)</f>
        <v/>
      </c>
      <c r="L288" s="6" t="n"/>
    </row>
    <row r="289">
      <c r="A289" s="7">
        <f>IF($D289="","",ROW()-2)</f>
        <v/>
      </c>
      <c r="B289" s="7" t="n"/>
      <c r="C289" s="7" t="n"/>
      <c r="D289" s="6" t="n"/>
      <c r="E289" s="7" t="n"/>
      <c r="F289" s="7" t="n"/>
      <c r="G289" s="7" t="n"/>
      <c r="H289" s="7" t="n"/>
      <c r="I289" s="7" t="n"/>
      <c r="J289" s="7" t="n"/>
      <c r="K289" s="7">
        <f>IF(OR($H289="",$J289=""),"",$H289-$J289)</f>
        <v/>
      </c>
      <c r="L289" s="6" t="n"/>
    </row>
    <row r="290">
      <c r="A290" s="7">
        <f>IF($D290="","",ROW()-2)</f>
        <v/>
      </c>
      <c r="B290" s="7" t="n"/>
      <c r="C290" s="7" t="n"/>
      <c r="D290" s="6" t="n"/>
      <c r="E290" s="7" t="n"/>
      <c r="F290" s="7" t="n"/>
      <c r="G290" s="7" t="n"/>
      <c r="H290" s="7" t="n"/>
      <c r="I290" s="7" t="n"/>
      <c r="J290" s="7" t="n"/>
      <c r="K290" s="7">
        <f>IF(OR($H290="",$J290=""),"",$H290-$J290)</f>
        <v/>
      </c>
      <c r="L290" s="6" t="n"/>
    </row>
    <row r="291">
      <c r="A291" s="7">
        <f>IF($D291="","",ROW()-2)</f>
        <v/>
      </c>
      <c r="B291" s="7" t="n"/>
      <c r="C291" s="7" t="n"/>
      <c r="D291" s="6" t="n"/>
      <c r="E291" s="7" t="n"/>
      <c r="F291" s="7" t="n"/>
      <c r="G291" s="7" t="n"/>
      <c r="H291" s="7" t="n"/>
      <c r="I291" s="7" t="n"/>
      <c r="J291" s="7" t="n"/>
      <c r="K291" s="7">
        <f>IF(OR($H291="",$J291=""),"",$H291-$J291)</f>
        <v/>
      </c>
      <c r="L291" s="6" t="n"/>
    </row>
    <row r="292">
      <c r="A292" s="7">
        <f>IF($D292="","",ROW()-2)</f>
        <v/>
      </c>
      <c r="B292" s="7" t="n"/>
      <c r="C292" s="7" t="n"/>
      <c r="D292" s="6" t="n"/>
      <c r="E292" s="7" t="n"/>
      <c r="F292" s="7" t="n"/>
      <c r="G292" s="7" t="n"/>
      <c r="H292" s="7" t="n"/>
      <c r="I292" s="7" t="n"/>
      <c r="J292" s="7" t="n"/>
      <c r="K292" s="7">
        <f>IF(OR($H292="",$J292=""),"",$H292-$J292)</f>
        <v/>
      </c>
      <c r="L292" s="6" t="n"/>
    </row>
    <row r="293">
      <c r="A293" s="7">
        <f>IF($D293="","",ROW()-2)</f>
        <v/>
      </c>
      <c r="B293" s="7" t="n"/>
      <c r="C293" s="7" t="n"/>
      <c r="D293" s="6" t="n"/>
      <c r="E293" s="7" t="n"/>
      <c r="F293" s="7" t="n"/>
      <c r="G293" s="7" t="n"/>
      <c r="H293" s="7" t="n"/>
      <c r="I293" s="7" t="n"/>
      <c r="J293" s="7" t="n"/>
      <c r="K293" s="7">
        <f>IF(OR($H293="",$J293=""),"",$H293-$J293)</f>
        <v/>
      </c>
      <c r="L293" s="6" t="n"/>
    </row>
    <row r="294">
      <c r="A294" s="7">
        <f>IF($D294="","",ROW()-2)</f>
        <v/>
      </c>
      <c r="B294" s="7" t="n"/>
      <c r="C294" s="7" t="n"/>
      <c r="D294" s="6" t="n"/>
      <c r="E294" s="7" t="n"/>
      <c r="F294" s="7" t="n"/>
      <c r="G294" s="7" t="n"/>
      <c r="H294" s="7" t="n"/>
      <c r="I294" s="7" t="n"/>
      <c r="J294" s="7" t="n"/>
      <c r="K294" s="7">
        <f>IF(OR($H294="",$J294=""),"",$H294-$J294)</f>
        <v/>
      </c>
      <c r="L294" s="6" t="n"/>
    </row>
    <row r="295">
      <c r="A295" s="7">
        <f>IF($D295="","",ROW()-2)</f>
        <v/>
      </c>
      <c r="B295" s="7" t="n"/>
      <c r="C295" s="7" t="n"/>
      <c r="D295" s="6" t="n"/>
      <c r="E295" s="7" t="n"/>
      <c r="F295" s="7" t="n"/>
      <c r="G295" s="7" t="n"/>
      <c r="H295" s="7" t="n"/>
      <c r="I295" s="7" t="n"/>
      <c r="J295" s="7" t="n"/>
      <c r="K295" s="7">
        <f>IF(OR($H295="",$J295=""),"",$H295-$J295)</f>
        <v/>
      </c>
      <c r="L295" s="6" t="n"/>
    </row>
    <row r="296">
      <c r="A296" s="7">
        <f>IF($D296="","",ROW()-2)</f>
        <v/>
      </c>
      <c r="B296" s="7" t="n"/>
      <c r="C296" s="7" t="n"/>
      <c r="D296" s="6" t="n"/>
      <c r="E296" s="7" t="n"/>
      <c r="F296" s="7" t="n"/>
      <c r="G296" s="7" t="n"/>
      <c r="H296" s="7" t="n"/>
      <c r="I296" s="7" t="n"/>
      <c r="J296" s="7" t="n"/>
      <c r="K296" s="7">
        <f>IF(OR($H296="",$J296=""),"",$H296-$J296)</f>
        <v/>
      </c>
      <c r="L296" s="6" t="n"/>
    </row>
    <row r="297">
      <c r="A297" s="7">
        <f>IF($D297="","",ROW()-2)</f>
        <v/>
      </c>
      <c r="B297" s="7" t="n"/>
      <c r="C297" s="7" t="n"/>
      <c r="D297" s="6" t="n"/>
      <c r="E297" s="7" t="n"/>
      <c r="F297" s="7" t="n"/>
      <c r="G297" s="7" t="n"/>
      <c r="H297" s="7" t="n"/>
      <c r="I297" s="7" t="n"/>
      <c r="J297" s="7" t="n"/>
      <c r="K297" s="7">
        <f>IF(OR($H297="",$J297=""),"",$H297-$J297)</f>
        <v/>
      </c>
      <c r="L297" s="6" t="n"/>
    </row>
    <row r="298">
      <c r="A298" s="7">
        <f>IF($D298="","",ROW()-2)</f>
        <v/>
      </c>
      <c r="B298" s="7" t="n"/>
      <c r="C298" s="7" t="n"/>
      <c r="D298" s="6" t="n"/>
      <c r="E298" s="7" t="n"/>
      <c r="F298" s="7" t="n"/>
      <c r="G298" s="7" t="n"/>
      <c r="H298" s="7" t="n"/>
      <c r="I298" s="7" t="n"/>
      <c r="J298" s="7" t="n"/>
      <c r="K298" s="7">
        <f>IF(OR($H298="",$J298=""),"",$H298-$J298)</f>
        <v/>
      </c>
      <c r="L298" s="6" t="n"/>
    </row>
    <row r="299">
      <c r="A299" s="7">
        <f>IF($D299="","",ROW()-2)</f>
        <v/>
      </c>
      <c r="B299" s="7" t="n"/>
      <c r="C299" s="7" t="n"/>
      <c r="D299" s="6" t="n"/>
      <c r="E299" s="7" t="n"/>
      <c r="F299" s="7" t="n"/>
      <c r="G299" s="7" t="n"/>
      <c r="H299" s="7" t="n"/>
      <c r="I299" s="7" t="n"/>
      <c r="J299" s="7" t="n"/>
      <c r="K299" s="7">
        <f>IF(OR($H299="",$J299=""),"",$H299-$J299)</f>
        <v/>
      </c>
      <c r="L299" s="6" t="n"/>
    </row>
    <row r="300">
      <c r="A300" s="7">
        <f>IF($D300="","",ROW()-2)</f>
        <v/>
      </c>
      <c r="B300" s="7" t="n"/>
      <c r="C300" s="7" t="n"/>
      <c r="D300" s="6" t="n"/>
      <c r="E300" s="7" t="n"/>
      <c r="F300" s="7" t="n"/>
      <c r="G300" s="7" t="n"/>
      <c r="H300" s="7" t="n"/>
      <c r="I300" s="7" t="n"/>
      <c r="J300" s="7" t="n"/>
      <c r="K300" s="7">
        <f>IF(OR($H300="",$J300=""),"",$H300-$J300)</f>
        <v/>
      </c>
      <c r="L300" s="6" t="n"/>
    </row>
    <row r="301">
      <c r="A301" s="7">
        <f>IF($D301="","",ROW()-2)</f>
        <v/>
      </c>
      <c r="B301" s="7" t="n"/>
      <c r="C301" s="7" t="n"/>
      <c r="D301" s="6" t="n"/>
      <c r="E301" s="7" t="n"/>
      <c r="F301" s="7" t="n"/>
      <c r="G301" s="7" t="n"/>
      <c r="H301" s="7" t="n"/>
      <c r="I301" s="7" t="n"/>
      <c r="J301" s="7" t="n"/>
      <c r="K301" s="7">
        <f>IF(OR($H301="",$J301=""),"",$H301-$J301)</f>
        <v/>
      </c>
      <c r="L301" s="6" t="n"/>
    </row>
    <row r="302">
      <c r="A302" s="7">
        <f>IF($D302="","",ROW()-2)</f>
        <v/>
      </c>
      <c r="B302" s="7" t="n"/>
      <c r="C302" s="7" t="n"/>
      <c r="D302" s="6" t="n"/>
      <c r="E302" s="7" t="n"/>
      <c r="F302" s="7" t="n"/>
      <c r="G302" s="7" t="n"/>
      <c r="H302" s="7" t="n"/>
      <c r="I302" s="7" t="n"/>
      <c r="J302" s="7" t="n"/>
      <c r="K302" s="7">
        <f>IF(OR($H302="",$J302=""),"",$H302-$J302)</f>
        <v/>
      </c>
      <c r="L302" s="6" t="n"/>
    </row>
  </sheetData>
  <mergeCells count="1">
    <mergeCell ref="A1:L1"/>
  </mergeCells>
  <conditionalFormatting sqref="E3:E302">
    <cfRule type="cellIs" priority="1" operator="equal" dxfId="1">
      <formula>"כן"</formula>
    </cfRule>
  </conditionalFormatting>
  <conditionalFormatting sqref="F3:F302">
    <cfRule type="expression" priority="2" dxfId="2">
      <formula>AND($E3="כן",$F3="")</formula>
    </cfRule>
  </conditionalFormatting>
  <conditionalFormatting sqref="I3:I302">
    <cfRule type="cellIs" priority="3" operator="equal" dxfId="3">
      <formula>"תקין"</formula>
    </cfRule>
    <cfRule type="cellIs" priority="4" operator="equal" dxfId="1">
      <formula>"תקין חלקית"</formula>
    </cfRule>
    <cfRule type="cellIs" priority="5" operator="equal" dxfId="2">
      <formula>"תקול"</formula>
    </cfRule>
    <cfRule type="cellIs" priority="6" operator="equal" dxfId="2">
      <formula>"חסר"</formula>
    </cfRule>
  </conditionalFormatting>
  <conditionalFormatting sqref="K3:K302">
    <cfRule type="expression" priority="7" dxfId="0">
      <formula>AND($K3&lt;&gt;"",$K3&lt;&gt;0)</formula>
    </cfRule>
    <cfRule type="expression" priority="8" dxfId="3">
      <formula>AND($K3&lt;&gt;"",$K3=0)</formula>
    </cfRule>
  </conditionalFormatting>
  <dataValidations count="5">
    <dataValidation sqref="B3:B302" showDropDown="0" showInputMessage="0" showErrorMessage="0" allowBlank="1" type="list">
      <formula1>='בתים ומוצבים'!$A$3:$A$32</formula1>
    </dataValidation>
    <dataValidation sqref="C3:C302" showDropDown="0" showInputMessage="0" showErrorMessage="0" allowBlank="1" type="list">
      <formula1>='מקרא והוראות'!$A$20:$A$32</formula1>
    </dataValidation>
    <dataValidation sqref="E3:E302" showDropDown="0" showInputMessage="0" showErrorMessage="0" allowBlank="1" type="list">
      <formula1>"כן,לא"</formula1>
    </dataValidation>
    <dataValidation sqref="G3:G302" showDropDown="0" showInputMessage="0" showErrorMessage="0" allowBlank="1" type="list">
      <formula1>"חטיבתי,גדודי,אוגדתי,אחר"</formula1>
    </dataValidation>
    <dataValidation sqref="I3:I302" showDropDown="0" showInputMessage="0" showErrorMessage="0" allowBlank="1" type="list">
      <formula1>"תקין,תקין חלקית,תקול,חסר"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5" customWidth="1" min="3" max="3"/>
    <col width="28" customWidth="1" min="4" max="4"/>
  </cols>
  <sheetData>
    <row r="1" ht="28" customHeight="1">
      <c r="A1" s="1" t="inlineStr">
        <is>
          <t>בתים ומוצבים בגזרה</t>
        </is>
      </c>
    </row>
    <row r="2">
      <c r="A2" s="3" t="inlineStr">
        <is>
          <t>בית / מוצב</t>
        </is>
      </c>
      <c r="B2" s="3" t="inlineStr">
        <is>
          <t>אחראי (גדוד מוסר)</t>
        </is>
      </c>
      <c r="C2" s="3" t="inlineStr">
        <is>
          <t>טלפון</t>
        </is>
      </c>
      <c r="D2" s="3" t="inlineStr">
        <is>
          <t>הערות</t>
        </is>
      </c>
    </row>
    <row r="3">
      <c r="A3" s="7" t="inlineStr">
        <is>
          <t>בית 1</t>
        </is>
      </c>
      <c r="B3" s="6" t="n"/>
      <c r="C3" s="6" t="n"/>
      <c r="D3" s="6" t="inlineStr">
        <is>
          <t>דוגמה – ערוך</t>
        </is>
      </c>
    </row>
    <row r="4">
      <c r="A4" s="7" t="inlineStr">
        <is>
          <t>בית 2</t>
        </is>
      </c>
      <c r="B4" s="6" t="n"/>
      <c r="C4" s="6" t="n"/>
      <c r="D4" s="6" t="inlineStr">
        <is>
          <t>דוגמה – ערוך</t>
        </is>
      </c>
    </row>
    <row r="5">
      <c r="A5" s="7" t="inlineStr">
        <is>
          <t>בית 3</t>
        </is>
      </c>
      <c r="B5" s="6" t="n"/>
      <c r="C5" s="6" t="n"/>
      <c r="D5" s="6" t="inlineStr">
        <is>
          <t>דוגמה – ערוך</t>
        </is>
      </c>
    </row>
    <row r="6">
      <c r="A6" s="7" t="n"/>
      <c r="B6" s="6" t="n"/>
      <c r="C6" s="6" t="n"/>
      <c r="D6" s="6" t="n"/>
    </row>
    <row r="7">
      <c r="A7" s="7" t="n"/>
      <c r="B7" s="6" t="n"/>
      <c r="C7" s="6" t="n"/>
      <c r="D7" s="6" t="n"/>
    </row>
    <row r="8">
      <c r="A8" s="7" t="n"/>
      <c r="B8" s="6" t="n"/>
      <c r="C8" s="6" t="n"/>
      <c r="D8" s="6" t="n"/>
    </row>
    <row r="9">
      <c r="A9" s="7" t="n"/>
      <c r="B9" s="6" t="n"/>
      <c r="C9" s="6" t="n"/>
      <c r="D9" s="6" t="n"/>
    </row>
    <row r="10">
      <c r="A10" s="7" t="n"/>
      <c r="B10" s="6" t="n"/>
      <c r="C10" s="6" t="n"/>
      <c r="D10" s="6" t="n"/>
    </row>
    <row r="11">
      <c r="A11" s="7" t="n"/>
      <c r="B11" s="6" t="n"/>
      <c r="C11" s="6" t="n"/>
      <c r="D11" s="6" t="n"/>
    </row>
    <row r="12">
      <c r="A12" s="7" t="n"/>
      <c r="B12" s="6" t="n"/>
      <c r="C12" s="6" t="n"/>
      <c r="D12" s="6" t="n"/>
    </row>
    <row r="13">
      <c r="A13" s="7" t="n"/>
      <c r="B13" s="6" t="n"/>
      <c r="C13" s="6" t="n"/>
      <c r="D13" s="6" t="n"/>
    </row>
    <row r="14">
      <c r="A14" s="7" t="n"/>
      <c r="B14" s="6" t="n"/>
      <c r="C14" s="6" t="n"/>
      <c r="D14" s="6" t="n"/>
    </row>
    <row r="15">
      <c r="A15" s="7" t="n"/>
      <c r="B15" s="6" t="n"/>
      <c r="C15" s="6" t="n"/>
      <c r="D15" s="6" t="n"/>
    </row>
    <row r="16">
      <c r="A16" s="7" t="n"/>
      <c r="B16" s="6" t="n"/>
      <c r="C16" s="6" t="n"/>
      <c r="D16" s="6" t="n"/>
    </row>
    <row r="17">
      <c r="A17" s="7" t="n"/>
      <c r="B17" s="6" t="n"/>
      <c r="C17" s="6" t="n"/>
      <c r="D17" s="6" t="n"/>
    </row>
    <row r="18">
      <c r="A18" s="7" t="n"/>
      <c r="B18" s="6" t="n"/>
      <c r="C18" s="6" t="n"/>
      <c r="D18" s="6" t="n"/>
    </row>
    <row r="19">
      <c r="A19" s="7" t="n"/>
      <c r="B19" s="6" t="n"/>
      <c r="C19" s="6" t="n"/>
      <c r="D19" s="6" t="n"/>
    </row>
    <row r="20">
      <c r="A20" s="7" t="n"/>
      <c r="B20" s="6" t="n"/>
      <c r="C20" s="6" t="n"/>
      <c r="D20" s="6" t="n"/>
    </row>
    <row r="21">
      <c r="A21" s="7" t="n"/>
      <c r="B21" s="6" t="n"/>
      <c r="C21" s="6" t="n"/>
      <c r="D21" s="6" t="n"/>
    </row>
    <row r="22">
      <c r="A22" s="7" t="n"/>
      <c r="B22" s="6" t="n"/>
      <c r="C22" s="6" t="n"/>
      <c r="D22" s="6" t="n"/>
    </row>
    <row r="23">
      <c r="A23" s="7" t="n"/>
      <c r="B23" s="6" t="n"/>
      <c r="C23" s="6" t="n"/>
      <c r="D23" s="6" t="n"/>
    </row>
    <row r="24">
      <c r="A24" s="7" t="n"/>
      <c r="B24" s="6" t="n"/>
      <c r="C24" s="6" t="n"/>
      <c r="D24" s="6" t="n"/>
    </row>
    <row r="25">
      <c r="A25" s="7" t="n"/>
      <c r="B25" s="6" t="n"/>
      <c r="C25" s="6" t="n"/>
      <c r="D25" s="6" t="n"/>
    </row>
    <row r="26">
      <c r="A26" s="7" t="n"/>
      <c r="B26" s="6" t="n"/>
      <c r="C26" s="6" t="n"/>
      <c r="D26" s="6" t="n"/>
    </row>
    <row r="27">
      <c r="A27" s="7" t="n"/>
      <c r="B27" s="6" t="n"/>
      <c r="C27" s="6" t="n"/>
      <c r="D27" s="6" t="n"/>
    </row>
    <row r="28">
      <c r="A28" s="7" t="n"/>
      <c r="B28" s="6" t="n"/>
      <c r="C28" s="6" t="n"/>
      <c r="D28" s="6" t="n"/>
    </row>
    <row r="29">
      <c r="A29" s="7" t="n"/>
      <c r="B29" s="6" t="n"/>
      <c r="C29" s="6" t="n"/>
      <c r="D29" s="6" t="n"/>
    </row>
    <row r="30">
      <c r="A30" s="7" t="n"/>
      <c r="B30" s="6" t="n"/>
      <c r="C30" s="6" t="n"/>
      <c r="D30" s="6" t="n"/>
    </row>
    <row r="31">
      <c r="A31" s="7" t="n"/>
      <c r="B31" s="6" t="n"/>
      <c r="C31" s="6" t="n"/>
      <c r="D31" s="6" t="n"/>
    </row>
    <row r="32">
      <c r="A32" s="7" t="n"/>
      <c r="B32" s="6" t="n"/>
      <c r="C32" s="6" t="n"/>
      <c r="D32" s="6" t="n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2" customWidth="1" min="4" max="4"/>
    <col width="12" customWidth="1" min="5" max="5"/>
    <col width="16" customWidth="1" min="6" max="6"/>
  </cols>
  <sheetData>
    <row r="1" ht="28" customHeight="1">
      <c r="A1" s="1" t="inlineStr">
        <is>
          <t>פרוטוקול העברת גזרה והחלפת חתימות</t>
        </is>
      </c>
    </row>
    <row r="3">
      <c r="A3" s="2" t="inlineStr">
        <is>
          <t>פרטי ההעברה</t>
        </is>
      </c>
    </row>
    <row r="4">
      <c r="A4" s="4" t="inlineStr">
        <is>
          <t>חטיבה</t>
        </is>
      </c>
      <c r="B4" s="11" t="n"/>
      <c r="C4" s="12" t="n"/>
    </row>
    <row r="5">
      <c r="A5" s="4" t="inlineStr">
        <is>
          <t>גזרה</t>
        </is>
      </c>
      <c r="B5" s="11" t="n"/>
      <c r="C5" s="12" t="n"/>
    </row>
    <row r="6">
      <c r="A6" s="4" t="inlineStr">
        <is>
          <t>הגדוד המוסר</t>
        </is>
      </c>
      <c r="B6" s="11" t="n"/>
      <c r="C6" s="12" t="n"/>
    </row>
    <row r="7">
      <c r="A7" s="4" t="inlineStr">
        <is>
          <t>מפקד הגדוד המוסר</t>
        </is>
      </c>
      <c r="B7" s="11" t="n"/>
      <c r="C7" s="12" t="n"/>
    </row>
    <row r="8">
      <c r="A8" s="4" t="inlineStr">
        <is>
          <t>הגדוד הקולט</t>
        </is>
      </c>
      <c r="B8" s="11" t="n"/>
      <c r="C8" s="12" t="n"/>
    </row>
    <row r="9">
      <c r="A9" s="4" t="inlineStr">
        <is>
          <t>מפקד הגדוד הקולט</t>
        </is>
      </c>
      <c r="B9" s="11" t="n"/>
      <c r="C9" s="12" t="n"/>
    </row>
    <row r="10">
      <c r="A10" s="4" t="inlineStr">
        <is>
          <t>תאריך ההעברה</t>
        </is>
      </c>
      <c r="B10" s="11" t="n"/>
      <c r="C10" s="12" t="n"/>
    </row>
    <row r="12">
      <c r="A12" s="2" t="inlineStr">
        <is>
          <t>סיכום ציוד לפי קטגוריה (אוטומטי)</t>
        </is>
      </c>
    </row>
    <row r="13">
      <c r="A13" s="3" t="inlineStr">
        <is>
          <t>קטגוריה</t>
        </is>
      </c>
      <c r="B13" s="3" t="inlineStr">
        <is>
          <t>פריטים</t>
        </is>
      </c>
      <c r="C13" s="3" t="inlineStr">
        <is>
          <t>כמות</t>
        </is>
      </c>
      <c r="D13" s="3" t="inlineStr">
        <is>
          <t>פריטי צ׳</t>
        </is>
      </c>
      <c r="E13" s="3" t="inlineStr">
        <is>
          <t>פערים</t>
        </is>
      </c>
    </row>
    <row r="14">
      <c r="A14" s="6" t="inlineStr">
        <is>
          <t>אמל"ח</t>
        </is>
      </c>
      <c r="B14" s="7">
        <f>COUNTIF('רשימת ציוד'!$C$3:$C$302,$A14)</f>
        <v/>
      </c>
      <c r="C14" s="7">
        <f>SUMIF('רשימת ציוד'!$C$3:$C$302,$A14,'רשימת ציוד'!$H$3:$H$302)</f>
        <v/>
      </c>
      <c r="D14" s="7">
        <f>COUNTIFS('רשימת ציוד'!$C$3:$C$302,$A14,'רשימת ציוד'!$E$3:$E$302,"כן")</f>
        <v/>
      </c>
      <c r="E14" s="7">
        <f>SUMPRODUCT(('רשימת ציוד'!$C$3:$C$302=$A14)*('רשימת ציוד'!$K$3:$K$302&lt;&gt;"")*('רשימת ציוד'!$K$3:$K$302&lt;&gt;0))</f>
        <v/>
      </c>
    </row>
    <row r="15">
      <c r="A15" s="6" t="inlineStr">
        <is>
          <t>תחמושת</t>
        </is>
      </c>
      <c r="B15" s="7">
        <f>COUNTIF('רשימת ציוד'!$C$3:$C$302,$A15)</f>
        <v/>
      </c>
      <c r="C15" s="7">
        <f>SUMIF('רשימת ציוד'!$C$3:$C$302,$A15,'רשימת ציוד'!$H$3:$H$302)</f>
        <v/>
      </c>
      <c r="D15" s="7">
        <f>COUNTIFS('רשימת ציוד'!$C$3:$C$302,$A15,'רשימת ציוד'!$E$3:$E$302,"כן")</f>
        <v/>
      </c>
      <c r="E15" s="7">
        <f>SUMPRODUCT(('רשימת ציוד'!$C$3:$C$302=$A15)*('רשימת ציוד'!$K$3:$K$302&lt;&gt;"")*('רשימת ציוד'!$K$3:$K$302&lt;&gt;0))</f>
        <v/>
      </c>
    </row>
    <row r="16">
      <c r="A16" s="6" t="inlineStr">
        <is>
          <t>אופטיקה ותצפית</t>
        </is>
      </c>
      <c r="B16" s="7">
        <f>COUNTIF('רשימת ציוד'!$C$3:$C$302,$A16)</f>
        <v/>
      </c>
      <c r="C16" s="7">
        <f>SUMIF('רשימת ציוד'!$C$3:$C$302,$A16,'רשימת ציוד'!$H$3:$H$302)</f>
        <v/>
      </c>
      <c r="D16" s="7">
        <f>COUNTIFS('רשימת ציוד'!$C$3:$C$302,$A16,'רשימת ציוד'!$E$3:$E$302,"כן")</f>
        <v/>
      </c>
      <c r="E16" s="7">
        <f>SUMPRODUCT(('רשימת ציוד'!$C$3:$C$302=$A16)*('רשימת ציוד'!$K$3:$K$302&lt;&gt;"")*('רשימת ציוד'!$K$3:$K$302&lt;&gt;0))</f>
        <v/>
      </c>
    </row>
    <row r="17">
      <c r="A17" s="6" t="inlineStr">
        <is>
          <t>קשר ומחשוב</t>
        </is>
      </c>
      <c r="B17" s="7">
        <f>COUNTIF('רשימת ציוד'!$C$3:$C$302,$A17)</f>
        <v/>
      </c>
      <c r="C17" s="7">
        <f>SUMIF('רשימת ציוד'!$C$3:$C$302,$A17,'רשימת ציוד'!$H$3:$H$302)</f>
        <v/>
      </c>
      <c r="D17" s="7">
        <f>COUNTIFS('רשימת ציוד'!$C$3:$C$302,$A17,'רשימת ציוד'!$E$3:$E$302,"כן")</f>
        <v/>
      </c>
      <c r="E17" s="7">
        <f>SUMPRODUCT(('רשימת ציוד'!$C$3:$C$302=$A17)*('רשימת ציוד'!$K$3:$K$302&lt;&gt;"")*('רשימת ציוד'!$K$3:$K$302&lt;&gt;0))</f>
        <v/>
      </c>
    </row>
    <row r="18">
      <c r="A18" s="6" t="inlineStr">
        <is>
          <t>רחפנים</t>
        </is>
      </c>
      <c r="B18" s="7">
        <f>COUNTIF('רשימת ציוד'!$C$3:$C$302,$A18)</f>
        <v/>
      </c>
      <c r="C18" s="7">
        <f>SUMIF('רשימת ציוד'!$C$3:$C$302,$A18,'רשימת ציוד'!$H$3:$H$302)</f>
        <v/>
      </c>
      <c r="D18" s="7">
        <f>COUNTIFS('רשימת ציוד'!$C$3:$C$302,$A18,'רשימת ציוד'!$E$3:$E$302,"כן")</f>
        <v/>
      </c>
      <c r="E18" s="7">
        <f>SUMPRODUCT(('רשימת ציוד'!$C$3:$C$302=$A18)*('רשימת ציוד'!$K$3:$K$302&lt;&gt;"")*('רשימת ציוד'!$K$3:$K$302&lt;&gt;0))</f>
        <v/>
      </c>
    </row>
    <row r="19">
      <c r="A19" s="6" t="inlineStr">
        <is>
          <t>מיגון</t>
        </is>
      </c>
      <c r="B19" s="7">
        <f>COUNTIF('רשימת ציוד'!$C$3:$C$302,$A19)</f>
        <v/>
      </c>
      <c r="C19" s="7">
        <f>SUMIF('רשימת ציוד'!$C$3:$C$302,$A19,'רשימת ציוד'!$H$3:$H$302)</f>
        <v/>
      </c>
      <c r="D19" s="7">
        <f>COUNTIFS('רשימת ציוד'!$C$3:$C$302,$A19,'רשימת ציוד'!$E$3:$E$302,"כן")</f>
        <v/>
      </c>
      <c r="E19" s="7">
        <f>SUMPRODUCT(('רשימת ציוד'!$C$3:$C$302=$A19)*('רשימת ציוד'!$K$3:$K$302&lt;&gt;"")*('רשימת ציוד'!$K$3:$K$302&lt;&gt;0))</f>
        <v/>
      </c>
    </row>
    <row r="20">
      <c r="A20" s="6" t="inlineStr">
        <is>
          <t>ציוד רפואי</t>
        </is>
      </c>
      <c r="B20" s="7">
        <f>COUNTIF('רשימת ציוד'!$C$3:$C$302,$A20)</f>
        <v/>
      </c>
      <c r="C20" s="7">
        <f>SUMIF('רשימת ציוד'!$C$3:$C$302,$A20,'רשימת ציוד'!$H$3:$H$302)</f>
        <v/>
      </c>
      <c r="D20" s="7">
        <f>COUNTIFS('רשימת ציוד'!$C$3:$C$302,$A20,'רשימת ציוד'!$E$3:$E$302,"כן")</f>
        <v/>
      </c>
      <c r="E20" s="7">
        <f>SUMPRODUCT(('רשימת ציוד'!$C$3:$C$302=$A20)*('רשימת ציוד'!$K$3:$K$302&lt;&gt;"")*('רשימת ציוד'!$K$3:$K$302&lt;&gt;0))</f>
        <v/>
      </c>
    </row>
    <row r="21">
      <c r="A21" s="6" t="inlineStr">
        <is>
          <t>לוגיסטיקה ומגורים</t>
        </is>
      </c>
      <c r="B21" s="7">
        <f>COUNTIF('רשימת ציוד'!$C$3:$C$302,$A21)</f>
        <v/>
      </c>
      <c r="C21" s="7">
        <f>SUMIF('רשימת ציוד'!$C$3:$C$302,$A21,'רשימת ציוד'!$H$3:$H$302)</f>
        <v/>
      </c>
      <c r="D21" s="7">
        <f>COUNTIFS('רשימת ציוד'!$C$3:$C$302,$A21,'רשימת ציוד'!$E$3:$E$302,"כן")</f>
        <v/>
      </c>
      <c r="E21" s="7">
        <f>SUMPRODUCT(('רשימת ציוד'!$C$3:$C$302=$A21)*('רשימת ציוד'!$K$3:$K$302&lt;&gt;"")*('רשימת ציוד'!$K$3:$K$302&lt;&gt;0))</f>
        <v/>
      </c>
    </row>
    <row r="22">
      <c r="A22" s="6" t="inlineStr">
        <is>
          <t>מטבח ומזון</t>
        </is>
      </c>
      <c r="B22" s="7">
        <f>COUNTIF('רשימת ציוד'!$C$3:$C$302,$A22)</f>
        <v/>
      </c>
      <c r="C22" s="7">
        <f>SUMIF('רשימת ציוד'!$C$3:$C$302,$A22,'רשימת ציוד'!$H$3:$H$302)</f>
        <v/>
      </c>
      <c r="D22" s="7">
        <f>COUNTIFS('רשימת ציוד'!$C$3:$C$302,$A22,'רשימת ציוד'!$E$3:$E$302,"כן")</f>
        <v/>
      </c>
      <c r="E22" s="7">
        <f>SUMPRODUCT(('רשימת ציוד'!$C$3:$C$302=$A22)*('רשימת ציוד'!$K$3:$K$302&lt;&gt;"")*('רשימת ציוד'!$K$3:$K$302&lt;&gt;0))</f>
        <v/>
      </c>
    </row>
    <row r="23">
      <c r="A23" s="6" t="inlineStr">
        <is>
          <t>גנרטורים וחשמל</t>
        </is>
      </c>
      <c r="B23" s="7">
        <f>COUNTIF('רשימת ציוד'!$C$3:$C$302,$A23)</f>
        <v/>
      </c>
      <c r="C23" s="7">
        <f>SUMIF('רשימת ציוד'!$C$3:$C$302,$A23,'רשימת ציוד'!$H$3:$H$302)</f>
        <v/>
      </c>
      <c r="D23" s="7">
        <f>COUNTIFS('רשימת ציוד'!$C$3:$C$302,$A23,'רשימת ציוד'!$E$3:$E$302,"כן")</f>
        <v/>
      </c>
      <c r="E23" s="7">
        <f>SUMPRODUCT(('רשימת ציוד'!$C$3:$C$302=$A23)*('רשימת ציוד'!$K$3:$K$302&lt;&gt;"")*('רשימת ציוד'!$K$3:$K$302&lt;&gt;0))</f>
        <v/>
      </c>
    </row>
    <row r="24">
      <c r="A24" s="6" t="inlineStr">
        <is>
          <t>תשתיות ומבנה</t>
        </is>
      </c>
      <c r="B24" s="7">
        <f>COUNTIF('רשימת ציוד'!$C$3:$C$302,$A24)</f>
        <v/>
      </c>
      <c r="C24" s="7">
        <f>SUMIF('רשימת ציוד'!$C$3:$C$302,$A24,'רשימת ציוד'!$H$3:$H$302)</f>
        <v/>
      </c>
      <c r="D24" s="7">
        <f>COUNTIFS('רשימת ציוד'!$C$3:$C$302,$A24,'רשימת ציוד'!$E$3:$E$302,"כן")</f>
        <v/>
      </c>
      <c r="E24" s="7">
        <f>SUMPRODUCT(('רשימת ציוד'!$C$3:$C$302=$A24)*('רשימת ציוד'!$K$3:$K$302&lt;&gt;"")*('רשימת ציוד'!$K$3:$K$302&lt;&gt;0))</f>
        <v/>
      </c>
    </row>
    <row r="25">
      <c r="A25" s="6" t="inlineStr">
        <is>
          <t>כיבוי אש ובטיחות</t>
        </is>
      </c>
      <c r="B25" s="7">
        <f>COUNTIF('רשימת ציוד'!$C$3:$C$302,$A25)</f>
        <v/>
      </c>
      <c r="C25" s="7">
        <f>SUMIF('רשימת ציוד'!$C$3:$C$302,$A25,'רשימת ציוד'!$H$3:$H$302)</f>
        <v/>
      </c>
      <c r="D25" s="7">
        <f>COUNTIFS('רשימת ציוד'!$C$3:$C$302,$A25,'רשימת ציוד'!$E$3:$E$302,"כן")</f>
        <v/>
      </c>
      <c r="E25" s="7">
        <f>SUMPRODUCT(('רשימת ציוד'!$C$3:$C$302=$A25)*('רשימת ציוד'!$K$3:$K$302&lt;&gt;"")*('רשימת ציוד'!$K$3:$K$302&lt;&gt;0))</f>
        <v/>
      </c>
    </row>
    <row r="26">
      <c r="A26" s="6" t="inlineStr">
        <is>
          <t>אחר</t>
        </is>
      </c>
      <c r="B26" s="7">
        <f>COUNTIF('רשימת ציוד'!$C$3:$C$302,$A26)</f>
        <v/>
      </c>
      <c r="C26" s="7">
        <f>SUMIF('רשימת ציוד'!$C$3:$C$302,$A26,'רשימת ציוד'!$H$3:$H$302)</f>
        <v/>
      </c>
      <c r="D26" s="7">
        <f>COUNTIFS('רשימת ציוד'!$C$3:$C$302,$A26,'רשימת ציוד'!$E$3:$E$302,"כן")</f>
        <v/>
      </c>
      <c r="E26" s="7">
        <f>SUMPRODUCT(('רשימת ציוד'!$C$3:$C$302=$A26)*('רשימת ציוד'!$K$3:$K$302&lt;&gt;"")*('רשימת ציוד'!$K$3:$K$302&lt;&gt;0))</f>
        <v/>
      </c>
    </row>
    <row r="27">
      <c r="A27" s="10" t="inlineStr">
        <is>
          <t>סה"כ</t>
        </is>
      </c>
      <c r="B27" s="10">
        <f>SUM(B14:B26)</f>
        <v/>
      </c>
      <c r="C27" s="10">
        <f>SUM(C14:C26)</f>
        <v/>
      </c>
      <c r="D27" s="10">
        <f>SUM(D14:D26)</f>
        <v/>
      </c>
      <c r="E27" s="10">
        <f>SUM(E14:E26)</f>
        <v/>
      </c>
    </row>
    <row r="29">
      <c r="A29" s="2" t="inlineStr">
        <is>
          <t>הצהרה</t>
        </is>
      </c>
    </row>
    <row r="30">
      <c r="A30" s="13" t="inlineStr">
        <is>
          <t>אנו החתומים מטה מאשרים כי:</t>
        </is>
      </c>
    </row>
    <row r="31">
      <c r="A31" s="13" t="inlineStr">
        <is>
          <t>1. הציוד המפורט בגיליון 'רשימת ציוד' נספר ונבדק במעמד נציגי שני הגדודים.</t>
        </is>
      </c>
    </row>
    <row r="32">
      <c r="A32" s="13" t="inlineStr">
        <is>
          <t>2. הגדוד הקולט מאשר את קבלת הציוד בכמויות ובמצב כמפורט, למעט הפערים שצוינו.</t>
        </is>
      </c>
    </row>
    <row r="33">
      <c r="A33" s="13" t="inlineStr">
        <is>
          <t>3. פערים שנרשמו יתועדו ויטופלו מול החטיבה.</t>
        </is>
      </c>
    </row>
    <row r="34">
      <c r="A34" s="13" t="inlineStr">
        <is>
          <t>4. האחריות על הציוד, לרבות פריטי הצ׳, עוברת לגדוד הקולט מרגע החתימה.</t>
        </is>
      </c>
    </row>
    <row r="36">
      <c r="A36" s="2" t="inlineStr">
        <is>
          <t>חתימות</t>
        </is>
      </c>
    </row>
    <row r="37">
      <c r="A37" s="3" t="inlineStr">
        <is>
          <t>תפקיד</t>
        </is>
      </c>
      <c r="B37" s="3" t="inlineStr">
        <is>
          <t>שם מלא</t>
        </is>
      </c>
      <c r="C37" s="3" t="inlineStr">
        <is>
          <t>דרגה</t>
        </is>
      </c>
      <c r="D37" s="3" t="inlineStr">
        <is>
          <t>מס׳ אישי</t>
        </is>
      </c>
      <c r="E37" s="3" t="inlineStr">
        <is>
          <t>תאריך</t>
        </is>
      </c>
      <c r="F37" s="3" t="inlineStr">
        <is>
          <t>חתימה</t>
        </is>
      </c>
    </row>
    <row r="38" ht="24" customHeight="1">
      <c r="A38" s="4" t="inlineStr">
        <is>
          <t>הגדוד המוסר – מפקד</t>
        </is>
      </c>
      <c r="B38" s="12" t="n"/>
      <c r="C38" s="12" t="n"/>
      <c r="D38" s="12" t="n"/>
      <c r="E38" s="12" t="n"/>
      <c r="F38" s="12" t="n"/>
    </row>
    <row r="39" ht="24" customHeight="1">
      <c r="A39" s="4" t="inlineStr">
        <is>
          <t>הגדוד המוסר – קצין לוגיסטיקה / אפסנאי</t>
        </is>
      </c>
      <c r="B39" s="12" t="n"/>
      <c r="C39" s="12" t="n"/>
      <c r="D39" s="12" t="n"/>
      <c r="E39" s="12" t="n"/>
      <c r="F39" s="12" t="n"/>
    </row>
    <row r="40" ht="24" customHeight="1">
      <c r="A40" s="4" t="inlineStr">
        <is>
          <t>הגדוד הקולט – מפקד</t>
        </is>
      </c>
      <c r="B40" s="12" t="n"/>
      <c r="C40" s="12" t="n"/>
      <c r="D40" s="12" t="n"/>
      <c r="E40" s="12" t="n"/>
      <c r="F40" s="12" t="n"/>
    </row>
    <row r="41" ht="24" customHeight="1">
      <c r="A41" s="4" t="inlineStr">
        <is>
          <t>הגדוד הקולט – קצין לוגיסטיקה / אפסנאי</t>
        </is>
      </c>
      <c r="B41" s="12" t="n"/>
      <c r="C41" s="12" t="n"/>
      <c r="D41" s="12" t="n"/>
      <c r="E41" s="12" t="n"/>
      <c r="F41" s="12" t="n"/>
    </row>
    <row r="42" ht="24" customHeight="1">
      <c r="A42" s="4" t="inlineStr">
        <is>
          <t>נציג חטיבה</t>
        </is>
      </c>
      <c r="B42" s="12" t="n"/>
      <c r="C42" s="12" t="n"/>
      <c r="D42" s="12" t="n"/>
      <c r="E42" s="12" t="n"/>
      <c r="F42" s="12" t="n"/>
    </row>
    <row r="44">
      <c r="A44" s="13" t="inlineStr">
        <is>
          <t>* מומלץ להדפיס בשני עותקים – עותק לכל גדוד.</t>
        </is>
      </c>
    </row>
  </sheetData>
  <mergeCells count="14">
    <mergeCell ref="A33:F33"/>
    <mergeCell ref="B6:C6"/>
    <mergeCell ref="B7:C7"/>
    <mergeCell ref="A44:F44"/>
    <mergeCell ref="B5:C5"/>
    <mergeCell ref="A1:F1"/>
    <mergeCell ref="B10:C10"/>
    <mergeCell ref="A32:F32"/>
    <mergeCell ref="A31:F31"/>
    <mergeCell ref="A34:F34"/>
    <mergeCell ref="B9:C9"/>
    <mergeCell ref="A30:F30"/>
    <mergeCell ref="B8:C8"/>
    <mergeCell ref="B4:C4"/>
  </mergeCells>
  <pageMargins left="0.75" right="0.75" top="1" bottom="1" header="0.5" footer="0.5"/>
  <pageSetup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rightToLeft="1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8" customHeight="1">
      <c r="A1" s="1" t="inlineStr">
        <is>
          <t>מקרא והוראות מילוי</t>
        </is>
      </c>
    </row>
    <row r="3">
      <c r="A3" s="2" t="inlineStr">
        <is>
          <t>סדר הפעולות:</t>
        </is>
      </c>
    </row>
    <row r="4">
      <c r="A4" s="13" t="inlineStr">
        <is>
          <t>1. הגדוד המוסר ממלא את גיליון 'בתים ומוצבים' – רשימת הבתים/העמדות בגזרה.</t>
        </is>
      </c>
    </row>
    <row r="5">
      <c r="A5" s="13" t="inlineStr">
        <is>
          <t>2. הגדוד המוסר ממלא את 'רשימת ציוד' – שורה לכל פריט: בית, קטגוריה, שם הפריט,</t>
        </is>
      </c>
    </row>
    <row r="6">
      <c r="A6" s="13" t="inlineStr">
        <is>
          <t xml:space="preserve">    האם פריט צ׳ (ואם כן – מספר הצ׳), מקור הציוד (חטיבתי/גדודי), כמות ומצב.</t>
        </is>
      </c>
    </row>
    <row r="7">
      <c r="A7" s="13" t="inlineStr">
        <is>
          <t>3. במעמד ההחלפה: נציג הגדוד הקולט סופר את הציוד וממלא 'כמות שנבדקה' –</t>
        </is>
      </c>
    </row>
    <row r="8">
      <c r="A8" s="13" t="inlineStr">
        <is>
          <t xml:space="preserve">    עמודת הפער מחושבת אוטומטית ונצבעת באדום כשיש אי-התאמה.</t>
        </is>
      </c>
    </row>
    <row r="9">
      <c r="A9" s="13" t="inlineStr">
        <is>
          <t>4. פריט צ׳ ללא מספר צ׳ נצבע באדום – חובה להשלים לפני חתימה.</t>
        </is>
      </c>
    </row>
    <row r="10">
      <c r="A10" s="13" t="inlineStr">
        <is>
          <t>5. בודקים את גיליון 'סקירה' – פערים, תקולים ושורות שטרם נבדקו.</t>
        </is>
      </c>
    </row>
    <row r="11">
      <c r="A11" s="13" t="inlineStr">
        <is>
          <t>6. ממלאים את פרטי ההעברה וחותמים בגיליון 'סיכום וחתימות' (להדפיס בשני עותקים).</t>
        </is>
      </c>
    </row>
    <row r="12">
      <c r="A12" s="13" t="inlineStr"/>
    </row>
    <row r="13">
      <c r="A13" s="13" t="inlineStr">
        <is>
          <t>שורות הדוגמה ברשימת הציוד ובבתים מסומנות 'דוגמה' – מחק/ערוך אותן.</t>
        </is>
      </c>
    </row>
    <row r="15">
      <c r="A15" s="14" t="inlineStr">
        <is>
          <t>צבעים:</t>
        </is>
      </c>
    </row>
    <row r="16">
      <c r="A16" s="15" t="n"/>
      <c r="B16" s="13" t="inlineStr">
        <is>
          <t>פריט צ׳</t>
        </is>
      </c>
    </row>
    <row r="17">
      <c r="A17" s="16" t="n"/>
      <c r="B17" s="13" t="inlineStr">
        <is>
          <t>תקין / נבדק ללא פער</t>
        </is>
      </c>
    </row>
    <row r="18">
      <c r="A18" s="17" t="n"/>
      <c r="B18" s="13" t="inlineStr">
        <is>
          <t>תקול / חסר / פער / צ׳ בלי מספר</t>
        </is>
      </c>
    </row>
    <row r="19">
      <c r="A19" s="14" t="inlineStr">
        <is>
          <t>קטגוריות (מזין את הרשימה הנפתחת):</t>
        </is>
      </c>
    </row>
    <row r="20">
      <c r="A20" s="6" t="inlineStr">
        <is>
          <t>אמל"ח</t>
        </is>
      </c>
    </row>
    <row r="21">
      <c r="A21" s="6" t="inlineStr">
        <is>
          <t>תחמושת</t>
        </is>
      </c>
    </row>
    <row r="22">
      <c r="A22" s="6" t="inlineStr">
        <is>
          <t>אופטיקה ותצפית</t>
        </is>
      </c>
    </row>
    <row r="23">
      <c r="A23" s="6" t="inlineStr">
        <is>
          <t>קשר ומחשוב</t>
        </is>
      </c>
    </row>
    <row r="24">
      <c r="A24" s="6" t="inlineStr">
        <is>
          <t>רחפנים</t>
        </is>
      </c>
    </row>
    <row r="25">
      <c r="A25" s="6" t="inlineStr">
        <is>
          <t>מיגון</t>
        </is>
      </c>
    </row>
    <row r="26">
      <c r="A26" s="6" t="inlineStr">
        <is>
          <t>ציוד רפואי</t>
        </is>
      </c>
    </row>
    <row r="27">
      <c r="A27" s="6" t="inlineStr">
        <is>
          <t>לוגיסטיקה ומגורים</t>
        </is>
      </c>
    </row>
    <row r="28">
      <c r="A28" s="6" t="inlineStr">
        <is>
          <t>מטבח ומזון</t>
        </is>
      </c>
    </row>
    <row r="29">
      <c r="A29" s="6" t="inlineStr">
        <is>
          <t>גנרטורים וחשמל</t>
        </is>
      </c>
    </row>
    <row r="30">
      <c r="A30" s="6" t="inlineStr">
        <is>
          <t>תשתיות ומבנה</t>
        </is>
      </c>
    </row>
    <row r="31">
      <c r="A31" s="6" t="inlineStr">
        <is>
          <t>כיבוי אש ובטיחות</t>
        </is>
      </c>
    </row>
    <row r="32">
      <c r="A32" s="6" t="inlineStr">
        <is>
          <t>אחר</t>
        </is>
      </c>
    </row>
  </sheetData>
  <mergeCells count="11">
    <mergeCell ref="A12:E12"/>
    <mergeCell ref="A4:E4"/>
    <mergeCell ref="A7:E7"/>
    <mergeCell ref="A10:E10"/>
    <mergeCell ref="A11:E11"/>
    <mergeCell ref="A1:E1"/>
    <mergeCell ref="A5:E5"/>
    <mergeCell ref="A13:E13"/>
    <mergeCell ref="A8:E8"/>
    <mergeCell ref="A6:E6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2026-07-03T13:51:31Z</dcterms:created>
  <dcterms:modified xsi:type="dcterms:W3CDTF">2026-07-03T13:51:31Z</dcterms:modified>
</cp:coreProperties>
</file>