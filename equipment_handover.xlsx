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סקירה" sheetId="1" state="visible" r:id="rId1"/>
    <sheet name="רשימת ציוד" sheetId="2" state="visible" r:id="rId2"/>
    <sheet name="בתים ומוצבים" sheetId="3" state="visible" r:id="rId3"/>
    <sheet name="סיכום וחתימות" sheetId="4" state="visible" r:id="rId4"/>
    <sheet name="מקרא והוראות" sheetId="5" state="visible" r:id="rId5"/>
  </sheets>
  <definedNames>
    <definedName name="_xlnm.Print_Area" localSheetId="3">'סיכום וחתימות'!$A$1:$F$52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3"/>
    </font>
    <font>
      <b val="1"/>
    </font>
    <font>
      <b val="1"/>
      <sz val="12"/>
    </font>
    <font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9AA7BD"/>
      </left>
      <right style="thin">
        <color rgb="009AA7BD"/>
      </right>
      <top style="thin">
        <color rgb="009AA7BD"/>
      </top>
      <bottom style="thin">
        <color rgb="009AA7BD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0" applyAlignment="1" pivotButton="0" quotePrefix="0" xfId="0">
      <alignment horizontal="right"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dxfs count="4">
    <dxf>
      <font>
        <b val="1"/>
      </font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3" customWidth="1" min="3" max="3"/>
    <col width="18" customWidth="1" min="4" max="4"/>
    <col width="9" customWidth="1" min="5" max="5"/>
    <col width="9" customWidth="1" min="6" max="6"/>
    <col width="9" customWidth="1" min="7" max="7"/>
    <col width="9" customWidth="1" min="8" max="8"/>
    <col width="3" customWidth="1" min="9" max="9"/>
    <col width="14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העברת גזרה – סיכום ציוד ופערים</t>
        </is>
      </c>
    </row>
    <row r="3">
      <c r="A3" s="2" t="inlineStr">
        <is>
          <t>סיכום כללי</t>
        </is>
      </c>
      <c r="D3" s="3" t="inlineStr">
        <is>
          <t>קטגוריה</t>
        </is>
      </c>
      <c r="E3" s="3" t="inlineStr">
        <is>
          <t>פריטים</t>
        </is>
      </c>
      <c r="F3" s="3" t="inlineStr">
        <is>
          <t>כמות</t>
        </is>
      </c>
      <c r="G3" s="3" t="inlineStr">
        <is>
          <t>פריטי צ׳</t>
        </is>
      </c>
      <c r="H3" s="3" t="inlineStr">
        <is>
          <t>פערים</t>
        </is>
      </c>
      <c r="J3" s="3" t="inlineStr">
        <is>
          <t>גדוד מוסר</t>
        </is>
      </c>
      <c r="K3" s="3" t="inlineStr">
        <is>
          <t>פריטים</t>
        </is>
      </c>
      <c r="L3" s="3" t="inlineStr">
        <is>
          <t>כמות</t>
        </is>
      </c>
      <c r="M3" s="3" t="inlineStr">
        <is>
          <t>פריטי צ׳</t>
        </is>
      </c>
      <c r="N3" s="3" t="inlineStr">
        <is>
          <t>פערים</t>
        </is>
      </c>
    </row>
    <row r="4">
      <c r="A4" s="4" t="inlineStr">
        <is>
          <t>סה"כ שורות ציוד</t>
        </is>
      </c>
      <c r="B4" s="5">
        <f>COUNTA('רשימת ציוד'!$E$3:$E$302)</f>
        <v/>
      </c>
      <c r="D4" s="6" t="inlineStr">
        <is>
          <t>אמל"ח</t>
        </is>
      </c>
      <c r="E4" s="7">
        <f>COUNTIF('רשימת ציוד'!$D$3:$D$302,$D4)</f>
        <v/>
      </c>
      <c r="F4" s="7">
        <f>SUMIF('רשימת ציוד'!$D$3:$D$302,$D4,'רשימת ציוד'!$I$3:$I$302)</f>
        <v/>
      </c>
      <c r="G4" s="7">
        <f>COUNTIFS('רשימת ציוד'!$D$3:$D$302,$D4,'רשימת ציוד'!$F$3:$F$302,"כן")</f>
        <v/>
      </c>
      <c r="H4" s="7">
        <f>SUMPRODUCT(('רשימת ציוד'!$D$3:$D$302=$D4)*('רשימת ציוד'!$L$3:$L$302&lt;&gt;"")*('רשימת ציוד'!$L$3:$L$302&lt;&gt;0))</f>
        <v/>
      </c>
      <c r="J4" s="6">
        <f>IF('מקרא והוראות'!$C$20="","",'מקרא והוראות'!$C$20)</f>
        <v/>
      </c>
      <c r="K4" s="7">
        <f>IF('מקרא והוראות'!$C$20="","",COUNTIF('רשימת ציוד'!$C$3:$C$302,'מקרא והוראות'!$C$20))</f>
        <v/>
      </c>
      <c r="L4" s="7">
        <f>IF('מקרא והוראות'!$C$20="","",SUMIF('רשימת ציוד'!$C$3:$C$302,'מקרא והוראות'!$C$20,'רשימת ציוד'!$I$3:$I$302))</f>
        <v/>
      </c>
      <c r="M4" s="7">
        <f>IF('מקרא והוראות'!$C$20="","",COUNTIFS('רשימת ציוד'!$C$3:$C$302,'מקרא והוראות'!$C$20,'רשימת ציוד'!$F$3:$F$302,"כן"))</f>
        <v/>
      </c>
      <c r="N4" s="7">
        <f>IF('מקרא והוראות'!$C$20="","",SUMPRODUCT(('רשימת ציוד'!$C$3:$C$302='מקרא והוראות'!$C$20)*('רשימת ציוד'!$L$3:$L$302&lt;&gt;"")*('רשימת ציוד'!$L$3:$L$302&lt;&gt;0)))</f>
        <v/>
      </c>
    </row>
    <row r="5">
      <c r="A5" s="4" t="inlineStr">
        <is>
          <t>סה"כ כמות נמסרת</t>
        </is>
      </c>
      <c r="B5" s="5">
        <f>SUM('רשימת ציוד'!$I$3:$I$302)</f>
        <v/>
      </c>
      <c r="D5" s="6" t="inlineStr">
        <is>
          <t>תחמושת</t>
        </is>
      </c>
      <c r="E5" s="7">
        <f>COUNTIF('רשימת ציוד'!$D$3:$D$302,$D5)</f>
        <v/>
      </c>
      <c r="F5" s="7">
        <f>SUMIF('רשימת ציוד'!$D$3:$D$302,$D5,'רשימת ציוד'!$I$3:$I$302)</f>
        <v/>
      </c>
      <c r="G5" s="7">
        <f>COUNTIFS('רשימת ציוד'!$D$3:$D$302,$D5,'רשימת ציוד'!$F$3:$F$302,"כן")</f>
        <v/>
      </c>
      <c r="H5" s="7">
        <f>SUMPRODUCT(('רשימת ציוד'!$D$3:$D$302=$D5)*('רשימת ציוד'!$L$3:$L$302&lt;&gt;"")*('רשימת ציוד'!$L$3:$L$302&lt;&gt;0))</f>
        <v/>
      </c>
      <c r="J5" s="6">
        <f>IF('מקרא והוראות'!$C$21="","",'מקרא והוראות'!$C$21)</f>
        <v/>
      </c>
      <c r="K5" s="7">
        <f>IF('מקרא והוראות'!$C$21="","",COUNTIF('רשימת ציוד'!$C$3:$C$302,'מקרא והוראות'!$C$21))</f>
        <v/>
      </c>
      <c r="L5" s="7">
        <f>IF('מקרא והוראות'!$C$21="","",SUMIF('רשימת ציוד'!$C$3:$C$302,'מקרא והוראות'!$C$21,'רשימת ציוד'!$I$3:$I$302))</f>
        <v/>
      </c>
      <c r="M5" s="7">
        <f>IF('מקרא והוראות'!$C$21="","",COUNTIFS('רשימת ציוד'!$C$3:$C$302,'מקרא והוראות'!$C$21,'רשימת ציוד'!$F$3:$F$302,"כן"))</f>
        <v/>
      </c>
      <c r="N5" s="7">
        <f>IF('מקרא והוראות'!$C$21="","",SUMPRODUCT(('רשימת ציוד'!$C$3:$C$302='מקרא והוראות'!$C$21)*('רשימת ציוד'!$L$3:$L$302&lt;&gt;"")*('רשימת ציוד'!$L$3:$L$302&lt;&gt;0)))</f>
        <v/>
      </c>
    </row>
    <row r="6">
      <c r="A6" s="4" t="inlineStr">
        <is>
          <t>פריטי צ׳</t>
        </is>
      </c>
      <c r="B6" s="8">
        <f>COUNTIF('רשימת ציוד'!$F$3:$F$302,"כן")</f>
        <v/>
      </c>
      <c r="D6" s="6" t="inlineStr">
        <is>
          <t>אופטיקה ותצפית</t>
        </is>
      </c>
      <c r="E6" s="7">
        <f>COUNTIF('רשימת ציוד'!$D$3:$D$302,$D6)</f>
        <v/>
      </c>
      <c r="F6" s="7">
        <f>SUMIF('רשימת ציוד'!$D$3:$D$302,$D6,'רשימת ציוד'!$I$3:$I$302)</f>
        <v/>
      </c>
      <c r="G6" s="7">
        <f>COUNTIFS('רשימת ציוד'!$D$3:$D$302,$D6,'רשימת ציוד'!$F$3:$F$302,"כן")</f>
        <v/>
      </c>
      <c r="H6" s="7">
        <f>SUMPRODUCT(('רשימת ציוד'!$D$3:$D$302=$D6)*('רשימת ציוד'!$L$3:$L$302&lt;&gt;"")*('רשימת ציוד'!$L$3:$L$302&lt;&gt;0))</f>
        <v/>
      </c>
      <c r="J6" s="6">
        <f>IF('מקרא והוראות'!$C$22="","",'מקרא והוראות'!$C$22)</f>
        <v/>
      </c>
      <c r="K6" s="7">
        <f>IF('מקרא והוראות'!$C$22="","",COUNTIF('רשימת ציוד'!$C$3:$C$302,'מקרא והוראות'!$C$22))</f>
        <v/>
      </c>
      <c r="L6" s="7">
        <f>IF('מקרא והוראות'!$C$22="","",SUMIF('רשימת ציוד'!$C$3:$C$302,'מקרא והוראות'!$C$22,'רשימת ציוד'!$I$3:$I$302))</f>
        <v/>
      </c>
      <c r="M6" s="7">
        <f>IF('מקרא והוראות'!$C$22="","",COUNTIFS('רשימת ציוד'!$C$3:$C$302,'מקרא והוראות'!$C$22,'רשימת ציוד'!$F$3:$F$302,"כן"))</f>
        <v/>
      </c>
      <c r="N6" s="7">
        <f>IF('מקרא והוראות'!$C$22="","",SUMPRODUCT(('רשימת ציוד'!$C$3:$C$302='מקרא והוראות'!$C$22)*('רשימת ציוד'!$L$3:$L$302&lt;&gt;"")*('רשימת ציוד'!$L$3:$L$302&lt;&gt;0)))</f>
        <v/>
      </c>
    </row>
    <row r="7">
      <c r="A7" s="4" t="inlineStr">
        <is>
          <t>ציוד חטיבתי</t>
        </is>
      </c>
      <c r="B7" s="9">
        <f>COUNTIF('רשימת ציוד'!$H$3:$H$302,"חטיבתי")</f>
        <v/>
      </c>
      <c r="D7" s="6" t="inlineStr">
        <is>
          <t>קשר ומחשוב</t>
        </is>
      </c>
      <c r="E7" s="7">
        <f>COUNTIF('רשימת ציוד'!$D$3:$D$302,$D7)</f>
        <v/>
      </c>
      <c r="F7" s="7">
        <f>SUMIF('רשימת ציוד'!$D$3:$D$302,$D7,'רשימת ציוד'!$I$3:$I$302)</f>
        <v/>
      </c>
      <c r="G7" s="7">
        <f>COUNTIFS('רשימת ציוד'!$D$3:$D$302,$D7,'רשימת ציוד'!$F$3:$F$302,"כן")</f>
        <v/>
      </c>
      <c r="H7" s="7">
        <f>SUMPRODUCT(('רשימת ציוד'!$D$3:$D$302=$D7)*('רשימת ציוד'!$L$3:$L$302&lt;&gt;"")*('רשימת ציוד'!$L$3:$L$302&lt;&gt;0))</f>
        <v/>
      </c>
      <c r="J7" s="6">
        <f>IF('מקרא והוראות'!$C$23="","",'מקרא והוראות'!$C$23)</f>
        <v/>
      </c>
      <c r="K7" s="7">
        <f>IF('מקרא והוראות'!$C$23="","",COUNTIF('רשימת ציוד'!$C$3:$C$302,'מקרא והוראות'!$C$23))</f>
        <v/>
      </c>
      <c r="L7" s="7">
        <f>IF('מקרא והוראות'!$C$23="","",SUMIF('רשימת ציוד'!$C$3:$C$302,'מקרא והוראות'!$C$23,'רשימת ציוד'!$I$3:$I$302))</f>
        <v/>
      </c>
      <c r="M7" s="7">
        <f>IF('מקרא והוראות'!$C$23="","",COUNTIFS('רשימת ציוד'!$C$3:$C$302,'מקרא והוראות'!$C$23,'רשימת ציוד'!$F$3:$F$302,"כן"))</f>
        <v/>
      </c>
      <c r="N7" s="7">
        <f>IF('מקרא והוראות'!$C$23="","",SUMPRODUCT(('רשימת ציוד'!$C$3:$C$302='מקרא והוראות'!$C$23)*('רשימת ציוד'!$L$3:$L$302&lt;&gt;"")*('רשימת ציוד'!$L$3:$L$302&lt;&gt;0)))</f>
        <v/>
      </c>
    </row>
    <row r="8">
      <c r="A8" s="4" t="inlineStr">
        <is>
          <t>ציוד גדודי</t>
        </is>
      </c>
      <c r="B8" s="9">
        <f>COUNTIF('רשימת ציוד'!$H$3:$H$302,"גדודי")</f>
        <v/>
      </c>
      <c r="D8" s="6" t="inlineStr">
        <is>
          <t>רחפנים</t>
        </is>
      </c>
      <c r="E8" s="7">
        <f>COUNTIF('רשימת ציוד'!$D$3:$D$302,$D8)</f>
        <v/>
      </c>
      <c r="F8" s="7">
        <f>SUMIF('רשימת ציוד'!$D$3:$D$302,$D8,'רשימת ציוד'!$I$3:$I$302)</f>
        <v/>
      </c>
      <c r="G8" s="7">
        <f>COUNTIFS('רשימת ציוד'!$D$3:$D$302,$D8,'רשימת ציוד'!$F$3:$F$302,"כן")</f>
        <v/>
      </c>
      <c r="H8" s="7">
        <f>SUMPRODUCT(('רשימת ציוד'!$D$3:$D$302=$D8)*('רשימת ציוד'!$L$3:$L$302&lt;&gt;"")*('רשימת ציוד'!$L$3:$L$302&lt;&gt;0))</f>
        <v/>
      </c>
    </row>
    <row r="9">
      <c r="D9" s="6" t="inlineStr">
        <is>
          <t>מיגון</t>
        </is>
      </c>
      <c r="E9" s="7">
        <f>COUNTIF('רשימת ציוד'!$D$3:$D$302,$D9)</f>
        <v/>
      </c>
      <c r="F9" s="7">
        <f>SUMIF('רשימת ציוד'!$D$3:$D$302,$D9,'רשימת ציוד'!$I$3:$I$302)</f>
        <v/>
      </c>
      <c r="G9" s="7">
        <f>COUNTIFS('רשימת ציוד'!$D$3:$D$302,$D9,'רשימת ציוד'!$F$3:$F$302,"כן")</f>
        <v/>
      </c>
      <c r="H9" s="7">
        <f>SUMPRODUCT(('רשימת ציוד'!$D$3:$D$302=$D9)*('רשימת ציוד'!$L$3:$L$302&lt;&gt;"")*('רשימת ציוד'!$L$3:$L$302&lt;&gt;0))</f>
        <v/>
      </c>
      <c r="J9" s="3" t="inlineStr">
        <is>
          <t>בית / מוצב</t>
        </is>
      </c>
      <c r="K9" s="3" t="inlineStr">
        <is>
          <t>גדוד מוסר</t>
        </is>
      </c>
      <c r="L9" s="3" t="inlineStr">
        <is>
          <t>פריטים</t>
        </is>
      </c>
    </row>
    <row r="10">
      <c r="A10" s="2" t="inlineStr">
        <is>
          <t>התראות</t>
        </is>
      </c>
      <c r="D10" s="6" t="inlineStr">
        <is>
          <t>ציוד רפואי</t>
        </is>
      </c>
      <c r="E10" s="7">
        <f>COUNTIF('רשימת ציוד'!$D$3:$D$302,$D10)</f>
        <v/>
      </c>
      <c r="F10" s="7">
        <f>SUMIF('רשימת ציוד'!$D$3:$D$302,$D10,'רשימת ציוד'!$I$3:$I$302)</f>
        <v/>
      </c>
      <c r="G10" s="7">
        <f>COUNTIFS('רשימת ציוד'!$D$3:$D$302,$D10,'רשימת ציוד'!$F$3:$F$302,"כן")</f>
        <v/>
      </c>
      <c r="H10" s="7">
        <f>SUMPRODUCT(('רשימת ציוד'!$D$3:$D$302=$D10)*('רשימת ציוד'!$L$3:$L$302&lt;&gt;"")*('רשימת ציוד'!$L$3:$L$302&lt;&gt;0))</f>
        <v/>
      </c>
      <c r="J10" s="6">
        <f>IF('בתים ומוצבים'!$A$3="","",'בתים ומוצבים'!$A$3)</f>
        <v/>
      </c>
      <c r="K10" s="7">
        <f>IF('בתים ומוצבים'!$A$3="","",'בתים ומוצבים'!$B$3)</f>
        <v/>
      </c>
      <c r="L10" s="7">
        <f>IF('בתים ומוצבים'!$A$3="","",COUNTIF('רשימת ציוד'!$B$3:$B$302,'בתים ומוצבים'!$A$3))</f>
        <v/>
      </c>
    </row>
    <row r="11">
      <c r="A11" s="4" t="inlineStr">
        <is>
          <t>פריטים תקולים</t>
        </is>
      </c>
      <c r="B11" s="9">
        <f>COUNTIF('רשימת ציוד'!$J$3:$J$302,"תקול")+COUNTIF('רשימת ציוד'!$J$3:$J$302,"חסר")</f>
        <v/>
      </c>
      <c r="D11" s="6" t="inlineStr">
        <is>
          <t>לוגיסטיקה ומגורים</t>
        </is>
      </c>
      <c r="E11" s="7">
        <f>COUNTIF('רשימת ציוד'!$D$3:$D$302,$D11)</f>
        <v/>
      </c>
      <c r="F11" s="7">
        <f>SUMIF('רשימת ציוד'!$D$3:$D$302,$D11,'רשימת ציוד'!$I$3:$I$302)</f>
        <v/>
      </c>
      <c r="G11" s="7">
        <f>COUNTIFS('רשימת ציוד'!$D$3:$D$302,$D11,'רשימת ציוד'!$F$3:$F$302,"כן")</f>
        <v/>
      </c>
      <c r="H11" s="7">
        <f>SUMPRODUCT(('רשימת ציוד'!$D$3:$D$302=$D11)*('רשימת ציוד'!$L$3:$L$302&lt;&gt;"")*('רשימת ציוד'!$L$3:$L$302&lt;&gt;0))</f>
        <v/>
      </c>
      <c r="J11" s="6">
        <f>IF('בתים ומוצבים'!$A$4="","",'בתים ומוצבים'!$A$4)</f>
        <v/>
      </c>
      <c r="K11" s="7">
        <f>IF('בתים ומוצבים'!$A$4="","",'בתים ומוצבים'!$B$4)</f>
        <v/>
      </c>
      <c r="L11" s="7">
        <f>IF('בתים ומוצבים'!$A$4="","",COUNTIF('רשימת ציוד'!$B$3:$B$302,'בתים ומוצבים'!$A$4))</f>
        <v/>
      </c>
    </row>
    <row r="12">
      <c r="A12" s="4" t="inlineStr">
        <is>
          <t>שורות עם פער</t>
        </is>
      </c>
      <c r="B12" s="9">
        <f>SUMPRODUCT(('רשימת ציוד'!$L$3:$L$302&lt;&gt;"")*('רשימת ציוד'!$L$3:$L$302&lt;&gt;0))</f>
        <v/>
      </c>
      <c r="D12" s="6" t="inlineStr">
        <is>
          <t>מטבח ומזון</t>
        </is>
      </c>
      <c r="E12" s="7">
        <f>COUNTIF('רשימת ציוד'!$D$3:$D$302,$D12)</f>
        <v/>
      </c>
      <c r="F12" s="7">
        <f>SUMIF('רשימת ציוד'!$D$3:$D$302,$D12,'רשימת ציוד'!$I$3:$I$302)</f>
        <v/>
      </c>
      <c r="G12" s="7">
        <f>COUNTIFS('רשימת ציוד'!$D$3:$D$302,$D12,'רשימת ציוד'!$F$3:$F$302,"כן")</f>
        <v/>
      </c>
      <c r="H12" s="7">
        <f>SUMPRODUCT(('רשימת ציוד'!$D$3:$D$302=$D12)*('רשימת ציוד'!$L$3:$L$302&lt;&gt;"")*('רשימת ציוד'!$L$3:$L$302&lt;&gt;0))</f>
        <v/>
      </c>
      <c r="J12" s="6">
        <f>IF('בתים ומוצבים'!$A$5="","",'בתים ומוצבים'!$A$5)</f>
        <v/>
      </c>
      <c r="K12" s="7">
        <f>IF('בתים ומוצבים'!$A$5="","",'בתים ומוצבים'!$B$5)</f>
        <v/>
      </c>
      <c r="L12" s="7">
        <f>IF('בתים ומוצבים'!$A$5="","",COUNTIF('רשימת ציוד'!$B$3:$B$302,'בתים ומוצבים'!$A$5))</f>
        <v/>
      </c>
    </row>
    <row r="13">
      <c r="A13" s="4" t="inlineStr">
        <is>
          <t>פריטי צ׳ ללא מספר</t>
        </is>
      </c>
      <c r="B13" s="9">
        <f>SUMPRODUCT(('רשימת ציוד'!$F$3:$F$302="כן")*('רשימת ציוד'!$G$3:$G$302=""))</f>
        <v/>
      </c>
      <c r="D13" s="6" t="inlineStr">
        <is>
          <t>גנרטורים וחשמל</t>
        </is>
      </c>
      <c r="E13" s="7">
        <f>COUNTIF('רשימת ציוד'!$D$3:$D$302,$D13)</f>
        <v/>
      </c>
      <c r="F13" s="7">
        <f>SUMIF('רשימת ציוד'!$D$3:$D$302,$D13,'רשימת ציוד'!$I$3:$I$302)</f>
        <v/>
      </c>
      <c r="G13" s="7">
        <f>COUNTIFS('רשימת ציוד'!$D$3:$D$302,$D13,'רשימת ציוד'!$F$3:$F$302,"כן")</f>
        <v/>
      </c>
      <c r="H13" s="7">
        <f>SUMPRODUCT(('רשימת ציוד'!$D$3:$D$302=$D13)*('רשימת ציוד'!$L$3:$L$302&lt;&gt;"")*('רשימת ציוד'!$L$3:$L$302&lt;&gt;0))</f>
        <v/>
      </c>
      <c r="J13" s="6">
        <f>IF('בתים ומוצבים'!$A$6="","",'בתים ומוצבים'!$A$6)</f>
        <v/>
      </c>
      <c r="K13" s="7">
        <f>IF('בתים ומוצבים'!$A$6="","",'בתים ומוצבים'!$B$6)</f>
        <v/>
      </c>
      <c r="L13" s="7">
        <f>IF('בתים ומוצבים'!$A$6="","",COUNTIF('רשימת ציוד'!$B$3:$B$302,'בתים ומוצבים'!$A$6))</f>
        <v/>
      </c>
    </row>
    <row r="14">
      <c r="A14" s="4" t="inlineStr">
        <is>
          <t>טרם נבדקו ע"י הקולט</t>
        </is>
      </c>
      <c r="B14" s="9">
        <f>SUMPRODUCT(('רשימת ציוד'!$E$3:$E$302&lt;&gt;"")*('רשימת ציוד'!$K$3:$K$302=""))</f>
        <v/>
      </c>
      <c r="D14" s="6" t="inlineStr">
        <is>
          <t>תשתיות ומבנה</t>
        </is>
      </c>
      <c r="E14" s="7">
        <f>COUNTIF('רשימת ציוד'!$D$3:$D$302,$D14)</f>
        <v/>
      </c>
      <c r="F14" s="7">
        <f>SUMIF('רשימת ציוד'!$D$3:$D$302,$D14,'רשימת ציוד'!$I$3:$I$302)</f>
        <v/>
      </c>
      <c r="G14" s="7">
        <f>COUNTIFS('רשימת ציוד'!$D$3:$D$302,$D14,'רשימת ציוד'!$F$3:$F$302,"כן")</f>
        <v/>
      </c>
      <c r="H14" s="7">
        <f>SUMPRODUCT(('רשימת ציוד'!$D$3:$D$302=$D14)*('רשימת ציוד'!$L$3:$L$302&lt;&gt;"")*('רשימת ציוד'!$L$3:$L$302&lt;&gt;0))</f>
        <v/>
      </c>
      <c r="J14" s="6">
        <f>IF('בתים ומוצבים'!$A$7="","",'בתים ומוצבים'!$A$7)</f>
        <v/>
      </c>
      <c r="K14" s="7">
        <f>IF('בתים ומוצבים'!$A$7="","",'בתים ומוצבים'!$B$7)</f>
        <v/>
      </c>
      <c r="L14" s="7">
        <f>IF('בתים ומוצבים'!$A$7="","",COUNTIF('רשימת ציוד'!$B$3:$B$302,'בתים ומוצבים'!$A$7))</f>
        <v/>
      </c>
    </row>
    <row r="15">
      <c r="D15" s="6" t="inlineStr">
        <is>
          <t>כיבוי אש ובטיחות</t>
        </is>
      </c>
      <c r="E15" s="7">
        <f>COUNTIF('רשימת ציוד'!$D$3:$D$302,$D15)</f>
        <v/>
      </c>
      <c r="F15" s="7">
        <f>SUMIF('רשימת ציוד'!$D$3:$D$302,$D15,'רשימת ציוד'!$I$3:$I$302)</f>
        <v/>
      </c>
      <c r="G15" s="7">
        <f>COUNTIFS('רשימת ציוד'!$D$3:$D$302,$D15,'רשימת ציוד'!$F$3:$F$302,"כן")</f>
        <v/>
      </c>
      <c r="H15" s="7">
        <f>SUMPRODUCT(('רשימת ציוד'!$D$3:$D$302=$D15)*('רשימת ציוד'!$L$3:$L$302&lt;&gt;"")*('רשימת ציוד'!$L$3:$L$302&lt;&gt;0))</f>
        <v/>
      </c>
      <c r="J15" s="6">
        <f>IF('בתים ומוצבים'!$A$8="","",'בתים ומוצבים'!$A$8)</f>
        <v/>
      </c>
      <c r="K15" s="7">
        <f>IF('בתים ומוצבים'!$A$8="","",'בתים ומוצבים'!$B$8)</f>
        <v/>
      </c>
      <c r="L15" s="7">
        <f>IF('בתים ומוצבים'!$A$8="","",COUNTIF('רשימת ציוד'!$B$3:$B$302,'בתים ומוצבים'!$A$8))</f>
        <v/>
      </c>
    </row>
    <row r="16">
      <c r="D16" s="6" t="inlineStr">
        <is>
          <t>אחר</t>
        </is>
      </c>
      <c r="E16" s="7">
        <f>COUNTIF('רשימת ציוד'!$D$3:$D$302,$D16)</f>
        <v/>
      </c>
      <c r="F16" s="7">
        <f>SUMIF('רשימת ציוד'!$D$3:$D$302,$D16,'רשימת ציוד'!$I$3:$I$302)</f>
        <v/>
      </c>
      <c r="G16" s="7">
        <f>COUNTIFS('רשימת ציוד'!$D$3:$D$302,$D16,'רשימת ציוד'!$F$3:$F$302,"כן")</f>
        <v/>
      </c>
      <c r="H16" s="7">
        <f>SUMPRODUCT(('רשימת ציוד'!$D$3:$D$302=$D16)*('רשימת ציוד'!$L$3:$L$302&lt;&gt;"")*('רשימת ציוד'!$L$3:$L$302&lt;&gt;0))</f>
        <v/>
      </c>
      <c r="J16" s="6">
        <f>IF('בתים ומוצבים'!$A$9="","",'בתים ומוצבים'!$A$9)</f>
        <v/>
      </c>
      <c r="K16" s="7">
        <f>IF('בתים ומוצבים'!$A$9="","",'בתים ומוצבים'!$B$9)</f>
        <v/>
      </c>
      <c r="L16" s="7">
        <f>IF('בתים ומוצבים'!$A$9="","",COUNTIF('רשימת ציוד'!$B$3:$B$302,'בתים ומוצבים'!$A$9))</f>
        <v/>
      </c>
    </row>
    <row r="17">
      <c r="D17" s="10" t="inlineStr">
        <is>
          <t>סה"כ</t>
        </is>
      </c>
      <c r="E17" s="10">
        <f>SUM(E4:E16)</f>
        <v/>
      </c>
      <c r="F17" s="10">
        <f>SUM(F4:F16)</f>
        <v/>
      </c>
      <c r="G17" s="10">
        <f>SUM(G4:G16)</f>
        <v/>
      </c>
      <c r="H17" s="10">
        <f>SUM(H4:H16)</f>
        <v/>
      </c>
      <c r="J17" s="6">
        <f>IF('בתים ומוצבים'!$A$10="","",'בתים ומוצבים'!$A$10)</f>
        <v/>
      </c>
      <c r="K17" s="7">
        <f>IF('בתים ומוצבים'!$A$10="","",'בתים ומוצבים'!$B$10)</f>
        <v/>
      </c>
      <c r="L17" s="7">
        <f>IF('בתים ומוצבים'!$A$10="","",COUNTIF('רשימת ציוד'!$B$3:$B$302,'בתים ומוצבים'!$A$10))</f>
        <v/>
      </c>
    </row>
    <row r="18">
      <c r="J18" s="6">
        <f>IF('בתים ומוצבים'!$A$11="","",'בתים ומוצבים'!$A$11)</f>
        <v/>
      </c>
      <c r="K18" s="7">
        <f>IF('בתים ומוצבים'!$A$11="","",'בתים ומוצבים'!$B$11)</f>
        <v/>
      </c>
      <c r="L18" s="7">
        <f>IF('בתים ומוצבים'!$A$11="","",COUNTIF('רשימת ציוד'!$B$3:$B$302,'בתים ומוצבים'!$A$11))</f>
        <v/>
      </c>
    </row>
    <row r="19">
      <c r="J19" s="6">
        <f>IF('בתים ומוצבים'!$A$12="","",'בתים ומוצבים'!$A$12)</f>
        <v/>
      </c>
      <c r="K19" s="7">
        <f>IF('בתים ומוצבים'!$A$12="","",'בתים ומוצבים'!$B$12)</f>
        <v/>
      </c>
      <c r="L19" s="7">
        <f>IF('בתים ומוצבים'!$A$12="","",COUNTIF('רשימת ציוד'!$B$3:$B$302,'בתים ומוצבים'!$A$12))</f>
        <v/>
      </c>
    </row>
    <row r="20">
      <c r="J20" s="6">
        <f>IF('בתים ומוצבים'!$A$13="","",'בתים ומוצבים'!$A$13)</f>
        <v/>
      </c>
      <c r="K20" s="7">
        <f>IF('בתים ומוצבים'!$A$13="","",'בתים ומוצבים'!$B$13)</f>
        <v/>
      </c>
      <c r="L20" s="7">
        <f>IF('בתים ומוצבים'!$A$13="","",COUNTIF('רשימת ציוד'!$B$3:$B$302,'בתים ומוצבים'!$A$13))</f>
        <v/>
      </c>
    </row>
    <row r="21">
      <c r="J21" s="6">
        <f>IF('בתים ומוצבים'!$A$14="","",'בתים ומוצבים'!$A$14)</f>
        <v/>
      </c>
      <c r="K21" s="7">
        <f>IF('בתים ומוצבים'!$A$14="","",'בתים ומוצבים'!$B$14)</f>
        <v/>
      </c>
      <c r="L21" s="7">
        <f>IF('בתים ומוצבים'!$A$14="","",COUNTIF('רשימת ציוד'!$B$3:$B$302,'בתים ומוצבים'!$A$14))</f>
        <v/>
      </c>
    </row>
    <row r="22">
      <c r="J22" s="6">
        <f>IF('בתים ומוצבים'!$A$15="","",'בתים ומוצבים'!$A$15)</f>
        <v/>
      </c>
      <c r="K22" s="7">
        <f>IF('בתים ומוצבים'!$A$15="","",'בתים ומוצבים'!$B$15)</f>
        <v/>
      </c>
      <c r="L22" s="7">
        <f>IF('בתים ומוצבים'!$A$15="","",COUNTIF('רשימת ציוד'!$B$3:$B$302,'בתים ומוצבים'!$A$15))</f>
        <v/>
      </c>
    </row>
    <row r="23">
      <c r="J23" s="6">
        <f>IF('בתים ומוצבים'!$A$16="","",'בתים ומוצבים'!$A$16)</f>
        <v/>
      </c>
      <c r="K23" s="7">
        <f>IF('בתים ומוצבים'!$A$16="","",'בתים ומוצבים'!$B$16)</f>
        <v/>
      </c>
      <c r="L23" s="7">
        <f>IF('בתים ומוצבים'!$A$16="","",COUNTIF('רשימת ציוד'!$B$3:$B$302,'בתים ומוצבים'!$A$16))</f>
        <v/>
      </c>
    </row>
    <row r="24">
      <c r="J24" s="6">
        <f>IF('בתים ומוצבים'!$A$17="","",'בתים ומוצבים'!$A$17)</f>
        <v/>
      </c>
      <c r="K24" s="7">
        <f>IF('בתים ומוצבים'!$A$17="","",'בתים ומוצבים'!$B$17)</f>
        <v/>
      </c>
      <c r="L24" s="7">
        <f>IF('בתים ומוצבים'!$A$17="","",COUNTIF('רשימת ציוד'!$B$3:$B$302,'בתים ומוצבים'!$A$17))</f>
        <v/>
      </c>
    </row>
  </sheetData>
  <mergeCells count="1">
    <mergeCell ref="A1:N1"/>
  </mergeCells>
  <conditionalFormatting sqref="B11">
    <cfRule type="cellIs" priority="1" operator="greaterThan" dxfId="0">
      <formula>0</formula>
    </cfRule>
  </conditionalFormatting>
  <conditionalFormatting sqref="B12">
    <cfRule type="cellIs" priority="2" operator="greaterThan" dxfId="0">
      <formula>0</formula>
    </cfRule>
  </conditionalFormatting>
  <conditionalFormatting sqref="B13">
    <cfRule type="cellIs" priority="3" operator="greaterThan" dxfId="0">
      <formula>0</formula>
    </cfRule>
  </conditionalFormatting>
  <conditionalFormatting sqref="B14">
    <cfRule type="cellIs" priority="4" operator="greaterThan" dxfId="0">
      <formula>0</formula>
    </cfRule>
  </conditionalFormatting>
  <conditionalFormatting sqref="H4">
    <cfRule type="cellIs" priority="5" operator="greaterThan" dxfId="0">
      <formula>0</formula>
    </cfRule>
  </conditionalFormatting>
  <conditionalFormatting sqref="H5">
    <cfRule type="cellIs" priority="6" operator="greaterThan" dxfId="0">
      <formula>0</formula>
    </cfRule>
  </conditionalFormatting>
  <conditionalFormatting sqref="H6">
    <cfRule type="cellIs" priority="7" operator="greaterThan" dxfId="0">
      <formula>0</formula>
    </cfRule>
  </conditionalFormatting>
  <conditionalFormatting sqref="H7">
    <cfRule type="cellIs" priority="8" operator="greaterThan" dxfId="0">
      <formula>0</formula>
    </cfRule>
  </conditionalFormatting>
  <conditionalFormatting sqref="H8">
    <cfRule type="cellIs" priority="9" operator="greaterThan" dxfId="0">
      <formula>0</formula>
    </cfRule>
  </conditionalFormatting>
  <conditionalFormatting sqref="H9">
    <cfRule type="cellIs" priority="10" operator="greaterThan" dxfId="0">
      <formula>0</formula>
    </cfRule>
  </conditionalFormatting>
  <conditionalFormatting sqref="H10">
    <cfRule type="cellIs" priority="11" operator="greaterThan" dxfId="0">
      <formula>0</formula>
    </cfRule>
  </conditionalFormatting>
  <conditionalFormatting sqref="H11">
    <cfRule type="cellIs" priority="12" operator="greaterThan" dxfId="0">
      <formula>0</formula>
    </cfRule>
  </conditionalFormatting>
  <conditionalFormatting sqref="H12">
    <cfRule type="cellIs" priority="13" operator="greaterThan" dxfId="0">
      <formula>0</formula>
    </cfRule>
  </conditionalFormatting>
  <conditionalFormatting sqref="H13">
    <cfRule type="cellIs" priority="14" operator="greaterThan" dxfId="0">
      <formula>0</formula>
    </cfRule>
  </conditionalFormatting>
  <conditionalFormatting sqref="H14">
    <cfRule type="cellIs" priority="15" operator="greaterThan" dxfId="0">
      <formula>0</formula>
    </cfRule>
  </conditionalFormatting>
  <conditionalFormatting sqref="H15">
    <cfRule type="cellIs" priority="16" operator="greaterThan" dxfId="0">
      <formula>0</formula>
    </cfRule>
  </conditionalFormatting>
  <conditionalFormatting sqref="H16">
    <cfRule type="cellIs" priority="17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6" customWidth="1" min="4" max="4"/>
    <col width="30" customWidth="1" min="5" max="5"/>
    <col width="9" customWidth="1" min="6" max="6"/>
    <col width="12" customWidth="1" min="7" max="7"/>
    <col width="11" customWidth="1" min="8" max="8"/>
    <col width="10" customWidth="1" min="9" max="9"/>
    <col width="11" customWidth="1" min="10" max="10"/>
    <col width="12" customWidth="1" min="11" max="11"/>
    <col width="7" customWidth="1" min="12" max="12"/>
    <col width="26" customWidth="1" min="13" max="13"/>
  </cols>
  <sheetData>
    <row r="1" ht="28" customHeight="1">
      <c r="A1" s="1" t="inlineStr">
        <is>
          <t>רשימת ציוד להעברה – ממולא ע"י הגדודים המוסרים</t>
        </is>
      </c>
    </row>
    <row r="2">
      <c r="A2" s="3" t="inlineStr">
        <is>
          <t>מס׳</t>
        </is>
      </c>
      <c r="B2" s="3" t="inlineStr">
        <is>
          <t>בית / מוצב</t>
        </is>
      </c>
      <c r="C2" s="3" t="inlineStr">
        <is>
          <t>גדוד מוסר</t>
        </is>
      </c>
      <c r="D2" s="3" t="inlineStr">
        <is>
          <t>קטגוריה</t>
        </is>
      </c>
      <c r="E2" s="3" t="inlineStr">
        <is>
          <t>שם הפריט</t>
        </is>
      </c>
      <c r="F2" s="3" t="inlineStr">
        <is>
          <t>פריט צ׳?</t>
        </is>
      </c>
      <c r="G2" s="3" t="inlineStr">
        <is>
          <t>מספר צ׳</t>
        </is>
      </c>
      <c r="H2" s="3" t="inlineStr">
        <is>
          <t>מקור הציוד</t>
        </is>
      </c>
      <c r="I2" s="3" t="inlineStr">
        <is>
          <t>כמות נמסרת</t>
        </is>
      </c>
      <c r="J2" s="3" t="inlineStr">
        <is>
          <t>מצב</t>
        </is>
      </c>
      <c r="K2" s="3" t="inlineStr">
        <is>
          <t>כמות שנבדקה (קולט)</t>
        </is>
      </c>
      <c r="L2" s="3" t="inlineStr">
        <is>
          <t>פער</t>
        </is>
      </c>
      <c r="M2" s="3" t="inlineStr">
        <is>
          <t>הערות</t>
        </is>
      </c>
    </row>
    <row r="3">
      <c r="A3" s="7">
        <f>IF($E3="","",ROW()-2)</f>
        <v/>
      </c>
      <c r="B3" s="7" t="inlineStr">
        <is>
          <t>בית 1</t>
        </is>
      </c>
      <c r="C3" s="7">
        <f>IF($B3="","",IFERROR(VLOOKUP($B3,'בתים ומוצבים'!$A$3:$B$32,2,FALSE),""))</f>
        <v/>
      </c>
      <c r="D3" s="7" t="inlineStr">
        <is>
          <t>אופטיקה ותצפית</t>
        </is>
      </c>
      <c r="E3" s="6" t="inlineStr">
        <is>
          <t>משקפת יום</t>
        </is>
      </c>
      <c r="F3" s="7" t="inlineStr">
        <is>
          <t>כן</t>
        </is>
      </c>
      <c r="G3" s="7" t="inlineStr">
        <is>
          <t>100200</t>
        </is>
      </c>
      <c r="H3" s="7" t="inlineStr">
        <is>
          <t>חטיבתי</t>
        </is>
      </c>
      <c r="I3" s="7" t="n">
        <v>2</v>
      </c>
      <c r="J3" s="7" t="inlineStr">
        <is>
          <t>תקין</t>
        </is>
      </c>
      <c r="K3" s="7" t="n"/>
      <c r="L3" s="7">
        <f>IF(OR($I3="",$K3=""),"",$I3-$K3)</f>
        <v/>
      </c>
      <c r="M3" s="6" t="inlineStr">
        <is>
          <t>דוגמה – מחק שורה זו</t>
        </is>
      </c>
    </row>
    <row r="4">
      <c r="A4" s="7">
        <f>IF($E4="","",ROW()-2)</f>
        <v/>
      </c>
      <c r="B4" s="7" t="inlineStr">
        <is>
          <t>בית 1</t>
        </is>
      </c>
      <c r="C4" s="7">
        <f>IF($B4="","",IFERROR(VLOOKUP($B4,'בתים ומוצבים'!$A$3:$B$32,2,FALSE),""))</f>
        <v/>
      </c>
      <c r="D4" s="7" t="inlineStr">
        <is>
          <t>קשר ומחשוב</t>
        </is>
      </c>
      <c r="E4" s="6" t="inlineStr">
        <is>
          <t>מכשיר קשר</t>
        </is>
      </c>
      <c r="F4" s="7" t="inlineStr">
        <is>
          <t>כן</t>
        </is>
      </c>
      <c r="G4" s="7" t="inlineStr">
        <is>
          <t>445566</t>
        </is>
      </c>
      <c r="H4" s="7" t="inlineStr">
        <is>
          <t>חטיבתי</t>
        </is>
      </c>
      <c r="I4" s="7" t="n">
        <v>4</v>
      </c>
      <c r="J4" s="7" t="inlineStr">
        <is>
          <t>תקין</t>
        </is>
      </c>
      <c r="K4" s="7" t="n"/>
      <c r="L4" s="7">
        <f>IF(OR($I4="",$K4=""),"",$I4-$K4)</f>
        <v/>
      </c>
      <c r="M4" s="6" t="inlineStr">
        <is>
          <t>דוגמה – מחק שורה זו</t>
        </is>
      </c>
    </row>
    <row r="5">
      <c r="A5" s="7">
        <f>IF($E5="","",ROW()-2)</f>
        <v/>
      </c>
      <c r="B5" s="7" t="inlineStr">
        <is>
          <t>בית 1</t>
        </is>
      </c>
      <c r="C5" s="7">
        <f>IF($B5="","",IFERROR(VLOOKUP($B5,'בתים ומוצבים'!$A$3:$B$32,2,FALSE),""))</f>
        <v/>
      </c>
      <c r="D5" s="7" t="inlineStr">
        <is>
          <t>לוגיסטיקה ומגורים</t>
        </is>
      </c>
      <c r="E5" s="6" t="inlineStr">
        <is>
          <t>מיטת שדה + מזרן</t>
        </is>
      </c>
      <c r="F5" s="7" t="inlineStr">
        <is>
          <t>לא</t>
        </is>
      </c>
      <c r="G5" s="7" t="inlineStr"/>
      <c r="H5" s="7" t="inlineStr">
        <is>
          <t>גדודי</t>
        </is>
      </c>
      <c r="I5" s="7" t="n">
        <v>12</v>
      </c>
      <c r="J5" s="7" t="inlineStr">
        <is>
          <t>תקין</t>
        </is>
      </c>
      <c r="K5" s="7" t="n"/>
      <c r="L5" s="7">
        <f>IF(OR($I5="",$K5=""),"",$I5-$K5)</f>
        <v/>
      </c>
      <c r="M5" s="6" t="inlineStr">
        <is>
          <t>דוגמה – מחק שורה זו</t>
        </is>
      </c>
    </row>
    <row r="6">
      <c r="A6" s="7">
        <f>IF($E6="","",ROW()-2)</f>
        <v/>
      </c>
      <c r="B6" s="7" t="inlineStr">
        <is>
          <t>בית 2</t>
        </is>
      </c>
      <c r="C6" s="7">
        <f>IF($B6="","",IFERROR(VLOOKUP($B6,'בתים ומוצבים'!$A$3:$B$32,2,FALSE),""))</f>
        <v/>
      </c>
      <c r="D6" s="7" t="inlineStr">
        <is>
          <t>גנרטורים וחשמל</t>
        </is>
      </c>
      <c r="E6" s="6" t="inlineStr">
        <is>
          <t>גנרטור 5 קו"ט</t>
        </is>
      </c>
      <c r="F6" s="7" t="inlineStr">
        <is>
          <t>כן</t>
        </is>
      </c>
      <c r="G6" s="7" t="inlineStr">
        <is>
          <t>778899</t>
        </is>
      </c>
      <c r="H6" s="7" t="inlineStr">
        <is>
          <t>חטיבתי</t>
        </is>
      </c>
      <c r="I6" s="7" t="n">
        <v>1</v>
      </c>
      <c r="J6" s="7" t="inlineStr">
        <is>
          <t>תקול</t>
        </is>
      </c>
      <c r="K6" s="7" t="n"/>
      <c r="L6" s="7">
        <f>IF(OR($I6="",$K6=""),"",$I6-$K6)</f>
        <v/>
      </c>
      <c r="M6" s="6" t="inlineStr">
        <is>
          <t>דוגמה – מחק שורה זו</t>
        </is>
      </c>
    </row>
    <row r="7">
      <c r="A7" s="7">
        <f>IF($E7="","",ROW()-2)</f>
        <v/>
      </c>
      <c r="B7" s="7" t="inlineStr">
        <is>
          <t>בית 2</t>
        </is>
      </c>
      <c r="C7" s="7">
        <f>IF($B7="","",IFERROR(VLOOKUP($B7,'בתים ומוצבים'!$A$3:$B$32,2,FALSE),""))</f>
        <v/>
      </c>
      <c r="D7" s="7" t="inlineStr">
        <is>
          <t>מטבח ומזון</t>
        </is>
      </c>
      <c r="E7" s="6" t="inlineStr">
        <is>
          <t>מקרר</t>
        </is>
      </c>
      <c r="F7" s="7" t="inlineStr">
        <is>
          <t>לא</t>
        </is>
      </c>
      <c r="G7" s="7" t="inlineStr"/>
      <c r="H7" s="7" t="inlineStr">
        <is>
          <t>חטיבתי</t>
        </is>
      </c>
      <c r="I7" s="7" t="n">
        <v>2</v>
      </c>
      <c r="J7" s="7" t="inlineStr">
        <is>
          <t>תקין</t>
        </is>
      </c>
      <c r="K7" s="7" t="n"/>
      <c r="L7" s="7">
        <f>IF(OR($I7="",$K7=""),"",$I7-$K7)</f>
        <v/>
      </c>
      <c r="M7" s="6" t="inlineStr">
        <is>
          <t>דוגמה – מחק שורה זו</t>
        </is>
      </c>
    </row>
    <row r="8">
      <c r="A8" s="7">
        <f>IF($E8="","",ROW()-2)</f>
        <v/>
      </c>
      <c r="B8" s="7" t="inlineStr">
        <is>
          <t>בית 2</t>
        </is>
      </c>
      <c r="C8" s="7">
        <f>IF($B8="","",IFERROR(VLOOKUP($B8,'בתים ומוצבים'!$A$3:$B$32,2,FALSE),""))</f>
        <v/>
      </c>
      <c r="D8" s="7" t="inlineStr">
        <is>
          <t>מיגון</t>
        </is>
      </c>
      <c r="E8" s="6" t="inlineStr">
        <is>
          <t>שכפ"צ</t>
        </is>
      </c>
      <c r="F8" s="7" t="inlineStr">
        <is>
          <t>לא</t>
        </is>
      </c>
      <c r="G8" s="7" t="inlineStr"/>
      <c r="H8" s="7" t="inlineStr">
        <is>
          <t>גדודי</t>
        </is>
      </c>
      <c r="I8" s="7" t="n">
        <v>10</v>
      </c>
      <c r="J8" s="7" t="inlineStr">
        <is>
          <t>תקין</t>
        </is>
      </c>
      <c r="K8" s="7" t="n"/>
      <c r="L8" s="7">
        <f>IF(OR($I8="",$K8=""),"",$I8-$K8)</f>
        <v/>
      </c>
      <c r="M8" s="6" t="inlineStr">
        <is>
          <t>דוגמה – מחק שורה זו</t>
        </is>
      </c>
    </row>
    <row r="9">
      <c r="A9" s="7">
        <f>IF($E9="","",ROW()-2)</f>
        <v/>
      </c>
      <c r="B9" s="7" t="inlineStr">
        <is>
          <t>בית 3</t>
        </is>
      </c>
      <c r="C9" s="7">
        <f>IF($B9="","",IFERROR(VLOOKUP($B9,'בתים ומוצבים'!$A$3:$B$32,2,FALSE),""))</f>
        <v/>
      </c>
      <c r="D9" s="7" t="inlineStr">
        <is>
          <t>ציוד רפואי</t>
        </is>
      </c>
      <c r="E9" s="6" t="inlineStr">
        <is>
          <t>תיק חובש פלוגתי</t>
        </is>
      </c>
      <c r="F9" s="7" t="inlineStr">
        <is>
          <t>כן</t>
        </is>
      </c>
      <c r="G9" s="7" t="inlineStr">
        <is>
          <t>556677</t>
        </is>
      </c>
      <c r="H9" s="7" t="inlineStr">
        <is>
          <t>גדודי</t>
        </is>
      </c>
      <c r="I9" s="7" t="n">
        <v>1</v>
      </c>
      <c r="J9" s="7" t="inlineStr">
        <is>
          <t>תקין</t>
        </is>
      </c>
      <c r="K9" s="7" t="n"/>
      <c r="L9" s="7">
        <f>IF(OR($I9="",$K9=""),"",$I9-$K9)</f>
        <v/>
      </c>
      <c r="M9" s="6" t="inlineStr">
        <is>
          <t>דוגמה – מחק שורה זו</t>
        </is>
      </c>
    </row>
    <row r="10">
      <c r="A10" s="7">
        <f>IF($E10="","",ROW()-2)</f>
        <v/>
      </c>
      <c r="B10" s="7" t="n"/>
      <c r="C10" s="7">
        <f>IF($B10="","",IFERROR(VLOOKUP($B10,'בתים ומוצבים'!$A$3:$B$32,2,FALSE),""))</f>
        <v/>
      </c>
      <c r="D10" s="7" t="n"/>
      <c r="E10" s="6" t="n"/>
      <c r="F10" s="7" t="n"/>
      <c r="G10" s="7" t="n"/>
      <c r="H10" s="7" t="n"/>
      <c r="I10" s="7" t="n"/>
      <c r="J10" s="7" t="n"/>
      <c r="K10" s="7" t="n"/>
      <c r="L10" s="7">
        <f>IF(OR($I10="",$K10=""),"",$I10-$K10)</f>
        <v/>
      </c>
      <c r="M10" s="6" t="n"/>
    </row>
    <row r="11">
      <c r="A11" s="7">
        <f>IF($E11="","",ROW()-2)</f>
        <v/>
      </c>
      <c r="B11" s="7" t="n"/>
      <c r="C11" s="7">
        <f>IF($B11="","",IFERROR(VLOOKUP($B11,'בתים ומוצבים'!$A$3:$B$32,2,FALSE),""))</f>
        <v/>
      </c>
      <c r="D11" s="7" t="n"/>
      <c r="E11" s="6" t="n"/>
      <c r="F11" s="7" t="n"/>
      <c r="G11" s="7" t="n"/>
      <c r="H11" s="7" t="n"/>
      <c r="I11" s="7" t="n"/>
      <c r="J11" s="7" t="n"/>
      <c r="K11" s="7" t="n"/>
      <c r="L11" s="7">
        <f>IF(OR($I11="",$K11=""),"",$I11-$K11)</f>
        <v/>
      </c>
      <c r="M11" s="6" t="n"/>
    </row>
    <row r="12">
      <c r="A12" s="7">
        <f>IF($E12="","",ROW()-2)</f>
        <v/>
      </c>
      <c r="B12" s="7" t="n"/>
      <c r="C12" s="7">
        <f>IF($B12="","",IFERROR(VLOOKUP($B12,'בתים ומוצבים'!$A$3:$B$32,2,FALSE),""))</f>
        <v/>
      </c>
      <c r="D12" s="7" t="n"/>
      <c r="E12" s="6" t="n"/>
      <c r="F12" s="7" t="n"/>
      <c r="G12" s="7" t="n"/>
      <c r="H12" s="7" t="n"/>
      <c r="I12" s="7" t="n"/>
      <c r="J12" s="7" t="n"/>
      <c r="K12" s="7" t="n"/>
      <c r="L12" s="7">
        <f>IF(OR($I12="",$K12=""),"",$I12-$K12)</f>
        <v/>
      </c>
      <c r="M12" s="6" t="n"/>
    </row>
    <row r="13">
      <c r="A13" s="7">
        <f>IF($E13="","",ROW()-2)</f>
        <v/>
      </c>
      <c r="B13" s="7" t="n"/>
      <c r="C13" s="7">
        <f>IF($B13="","",IFERROR(VLOOKUP($B13,'בתים ומוצבים'!$A$3:$B$32,2,FALSE),""))</f>
        <v/>
      </c>
      <c r="D13" s="7" t="n"/>
      <c r="E13" s="6" t="n"/>
      <c r="F13" s="7" t="n"/>
      <c r="G13" s="7" t="n"/>
      <c r="H13" s="7" t="n"/>
      <c r="I13" s="7" t="n"/>
      <c r="J13" s="7" t="n"/>
      <c r="K13" s="7" t="n"/>
      <c r="L13" s="7">
        <f>IF(OR($I13="",$K13=""),"",$I13-$K13)</f>
        <v/>
      </c>
      <c r="M13" s="6" t="n"/>
    </row>
    <row r="14">
      <c r="A14" s="7">
        <f>IF($E14="","",ROW()-2)</f>
        <v/>
      </c>
      <c r="B14" s="7" t="n"/>
      <c r="C14" s="7">
        <f>IF($B14="","",IFERROR(VLOOKUP($B14,'בתים ומוצבים'!$A$3:$B$32,2,FALSE),""))</f>
        <v/>
      </c>
      <c r="D14" s="7" t="n"/>
      <c r="E14" s="6" t="n"/>
      <c r="F14" s="7" t="n"/>
      <c r="G14" s="7" t="n"/>
      <c r="H14" s="7" t="n"/>
      <c r="I14" s="7" t="n"/>
      <c r="J14" s="7" t="n"/>
      <c r="K14" s="7" t="n"/>
      <c r="L14" s="7">
        <f>IF(OR($I14="",$K14=""),"",$I14-$K14)</f>
        <v/>
      </c>
      <c r="M14" s="6" t="n"/>
    </row>
    <row r="15">
      <c r="A15" s="7">
        <f>IF($E15="","",ROW()-2)</f>
        <v/>
      </c>
      <c r="B15" s="7" t="n"/>
      <c r="C15" s="7">
        <f>IF($B15="","",IFERROR(VLOOKUP($B15,'בתים ומוצבים'!$A$3:$B$32,2,FALSE),""))</f>
        <v/>
      </c>
      <c r="D15" s="7" t="n"/>
      <c r="E15" s="6" t="n"/>
      <c r="F15" s="7" t="n"/>
      <c r="G15" s="7" t="n"/>
      <c r="H15" s="7" t="n"/>
      <c r="I15" s="7" t="n"/>
      <c r="J15" s="7" t="n"/>
      <c r="K15" s="7" t="n"/>
      <c r="L15" s="7">
        <f>IF(OR($I15="",$K15=""),"",$I15-$K15)</f>
        <v/>
      </c>
      <c r="M15" s="6" t="n"/>
    </row>
    <row r="16">
      <c r="A16" s="7">
        <f>IF($E16="","",ROW()-2)</f>
        <v/>
      </c>
      <c r="B16" s="7" t="n"/>
      <c r="C16" s="7">
        <f>IF($B16="","",IFERROR(VLOOKUP($B16,'בתים ומוצבים'!$A$3:$B$32,2,FALSE),""))</f>
        <v/>
      </c>
      <c r="D16" s="7" t="n"/>
      <c r="E16" s="6" t="n"/>
      <c r="F16" s="7" t="n"/>
      <c r="G16" s="7" t="n"/>
      <c r="H16" s="7" t="n"/>
      <c r="I16" s="7" t="n"/>
      <c r="J16" s="7" t="n"/>
      <c r="K16" s="7" t="n"/>
      <c r="L16" s="7">
        <f>IF(OR($I16="",$K16=""),"",$I16-$K16)</f>
        <v/>
      </c>
      <c r="M16" s="6" t="n"/>
    </row>
    <row r="17">
      <c r="A17" s="7">
        <f>IF($E17="","",ROW()-2)</f>
        <v/>
      </c>
      <c r="B17" s="7" t="n"/>
      <c r="C17" s="7">
        <f>IF($B17="","",IFERROR(VLOOKUP($B17,'בתים ומוצבים'!$A$3:$B$32,2,FALSE),""))</f>
        <v/>
      </c>
      <c r="D17" s="7" t="n"/>
      <c r="E17" s="6" t="n"/>
      <c r="F17" s="7" t="n"/>
      <c r="G17" s="7" t="n"/>
      <c r="H17" s="7" t="n"/>
      <c r="I17" s="7" t="n"/>
      <c r="J17" s="7" t="n"/>
      <c r="K17" s="7" t="n"/>
      <c r="L17" s="7">
        <f>IF(OR($I17="",$K17=""),"",$I17-$K17)</f>
        <v/>
      </c>
      <c r="M17" s="6" t="n"/>
    </row>
    <row r="18">
      <c r="A18" s="7">
        <f>IF($E18="","",ROW()-2)</f>
        <v/>
      </c>
      <c r="B18" s="7" t="n"/>
      <c r="C18" s="7">
        <f>IF($B18="","",IFERROR(VLOOKUP($B18,'בתים ומוצבים'!$A$3:$B$32,2,FALSE),""))</f>
        <v/>
      </c>
      <c r="D18" s="7" t="n"/>
      <c r="E18" s="6" t="n"/>
      <c r="F18" s="7" t="n"/>
      <c r="G18" s="7" t="n"/>
      <c r="H18" s="7" t="n"/>
      <c r="I18" s="7" t="n"/>
      <c r="J18" s="7" t="n"/>
      <c r="K18" s="7" t="n"/>
      <c r="L18" s="7">
        <f>IF(OR($I18="",$K18=""),"",$I18-$K18)</f>
        <v/>
      </c>
      <c r="M18" s="6" t="n"/>
    </row>
    <row r="19">
      <c r="A19" s="7">
        <f>IF($E19="","",ROW()-2)</f>
        <v/>
      </c>
      <c r="B19" s="7" t="n"/>
      <c r="C19" s="7">
        <f>IF($B19="","",IFERROR(VLOOKUP($B19,'בתים ומוצבים'!$A$3:$B$32,2,FALSE),""))</f>
        <v/>
      </c>
      <c r="D19" s="7" t="n"/>
      <c r="E19" s="6" t="n"/>
      <c r="F19" s="7" t="n"/>
      <c r="G19" s="7" t="n"/>
      <c r="H19" s="7" t="n"/>
      <c r="I19" s="7" t="n"/>
      <c r="J19" s="7" t="n"/>
      <c r="K19" s="7" t="n"/>
      <c r="L19" s="7">
        <f>IF(OR($I19="",$K19=""),"",$I19-$K19)</f>
        <v/>
      </c>
      <c r="M19" s="6" t="n"/>
    </row>
    <row r="20">
      <c r="A20" s="7">
        <f>IF($E20="","",ROW()-2)</f>
        <v/>
      </c>
      <c r="B20" s="7" t="n"/>
      <c r="C20" s="7">
        <f>IF($B20="","",IFERROR(VLOOKUP($B20,'בתים ומוצבים'!$A$3:$B$32,2,FALSE),""))</f>
        <v/>
      </c>
      <c r="D20" s="7" t="n"/>
      <c r="E20" s="6" t="n"/>
      <c r="F20" s="7" t="n"/>
      <c r="G20" s="7" t="n"/>
      <c r="H20" s="7" t="n"/>
      <c r="I20" s="7" t="n"/>
      <c r="J20" s="7" t="n"/>
      <c r="K20" s="7" t="n"/>
      <c r="L20" s="7">
        <f>IF(OR($I20="",$K20=""),"",$I20-$K20)</f>
        <v/>
      </c>
      <c r="M20" s="6" t="n"/>
    </row>
    <row r="21">
      <c r="A21" s="7">
        <f>IF($E21="","",ROW()-2)</f>
        <v/>
      </c>
      <c r="B21" s="7" t="n"/>
      <c r="C21" s="7">
        <f>IF($B21="","",IFERROR(VLOOKUP($B21,'בתים ומוצבים'!$A$3:$B$32,2,FALSE),""))</f>
        <v/>
      </c>
      <c r="D21" s="7" t="n"/>
      <c r="E21" s="6" t="n"/>
      <c r="F21" s="7" t="n"/>
      <c r="G21" s="7" t="n"/>
      <c r="H21" s="7" t="n"/>
      <c r="I21" s="7" t="n"/>
      <c r="J21" s="7" t="n"/>
      <c r="K21" s="7" t="n"/>
      <c r="L21" s="7">
        <f>IF(OR($I21="",$K21=""),"",$I21-$K21)</f>
        <v/>
      </c>
      <c r="M21" s="6" t="n"/>
    </row>
    <row r="22">
      <c r="A22" s="7">
        <f>IF($E22="","",ROW()-2)</f>
        <v/>
      </c>
      <c r="B22" s="7" t="n"/>
      <c r="C22" s="7">
        <f>IF($B22="","",IFERROR(VLOOKUP($B22,'בתים ומוצבים'!$A$3:$B$32,2,FALSE),""))</f>
        <v/>
      </c>
      <c r="D22" s="7" t="n"/>
      <c r="E22" s="6" t="n"/>
      <c r="F22" s="7" t="n"/>
      <c r="G22" s="7" t="n"/>
      <c r="H22" s="7" t="n"/>
      <c r="I22" s="7" t="n"/>
      <c r="J22" s="7" t="n"/>
      <c r="K22" s="7" t="n"/>
      <c r="L22" s="7">
        <f>IF(OR($I22="",$K22=""),"",$I22-$K22)</f>
        <v/>
      </c>
      <c r="M22" s="6" t="n"/>
    </row>
    <row r="23">
      <c r="A23" s="7">
        <f>IF($E23="","",ROW()-2)</f>
        <v/>
      </c>
      <c r="B23" s="7" t="n"/>
      <c r="C23" s="7">
        <f>IF($B23="","",IFERROR(VLOOKUP($B23,'בתים ומוצבים'!$A$3:$B$32,2,FALSE),""))</f>
        <v/>
      </c>
      <c r="D23" s="7" t="n"/>
      <c r="E23" s="6" t="n"/>
      <c r="F23" s="7" t="n"/>
      <c r="G23" s="7" t="n"/>
      <c r="H23" s="7" t="n"/>
      <c r="I23" s="7" t="n"/>
      <c r="J23" s="7" t="n"/>
      <c r="K23" s="7" t="n"/>
      <c r="L23" s="7">
        <f>IF(OR($I23="",$K23=""),"",$I23-$K23)</f>
        <v/>
      </c>
      <c r="M23" s="6" t="n"/>
    </row>
    <row r="24">
      <c r="A24" s="7">
        <f>IF($E24="","",ROW()-2)</f>
        <v/>
      </c>
      <c r="B24" s="7" t="n"/>
      <c r="C24" s="7">
        <f>IF($B24="","",IFERROR(VLOOKUP($B24,'בתים ומוצבים'!$A$3:$B$32,2,FALSE),""))</f>
        <v/>
      </c>
      <c r="D24" s="7" t="n"/>
      <c r="E24" s="6" t="n"/>
      <c r="F24" s="7" t="n"/>
      <c r="G24" s="7" t="n"/>
      <c r="H24" s="7" t="n"/>
      <c r="I24" s="7" t="n"/>
      <c r="J24" s="7" t="n"/>
      <c r="K24" s="7" t="n"/>
      <c r="L24" s="7">
        <f>IF(OR($I24="",$K24=""),"",$I24-$K24)</f>
        <v/>
      </c>
      <c r="M24" s="6" t="n"/>
    </row>
    <row r="25">
      <c r="A25" s="7">
        <f>IF($E25="","",ROW()-2)</f>
        <v/>
      </c>
      <c r="B25" s="7" t="n"/>
      <c r="C25" s="7">
        <f>IF($B25="","",IFERROR(VLOOKUP($B25,'בתים ומוצבים'!$A$3:$B$32,2,FALSE),""))</f>
        <v/>
      </c>
      <c r="D25" s="7" t="n"/>
      <c r="E25" s="6" t="n"/>
      <c r="F25" s="7" t="n"/>
      <c r="G25" s="7" t="n"/>
      <c r="H25" s="7" t="n"/>
      <c r="I25" s="7" t="n"/>
      <c r="J25" s="7" t="n"/>
      <c r="K25" s="7" t="n"/>
      <c r="L25" s="7">
        <f>IF(OR($I25="",$K25=""),"",$I25-$K25)</f>
        <v/>
      </c>
      <c r="M25" s="6" t="n"/>
    </row>
    <row r="26">
      <c r="A26" s="7">
        <f>IF($E26="","",ROW()-2)</f>
        <v/>
      </c>
      <c r="B26" s="7" t="n"/>
      <c r="C26" s="7">
        <f>IF($B26="","",IFERROR(VLOOKUP($B26,'בתים ומוצבים'!$A$3:$B$32,2,FALSE),""))</f>
        <v/>
      </c>
      <c r="D26" s="7" t="n"/>
      <c r="E26" s="6" t="n"/>
      <c r="F26" s="7" t="n"/>
      <c r="G26" s="7" t="n"/>
      <c r="H26" s="7" t="n"/>
      <c r="I26" s="7" t="n"/>
      <c r="J26" s="7" t="n"/>
      <c r="K26" s="7" t="n"/>
      <c r="L26" s="7">
        <f>IF(OR($I26="",$K26=""),"",$I26-$K26)</f>
        <v/>
      </c>
      <c r="M26" s="6" t="n"/>
    </row>
    <row r="27">
      <c r="A27" s="7">
        <f>IF($E27="","",ROW()-2)</f>
        <v/>
      </c>
      <c r="B27" s="7" t="n"/>
      <c r="C27" s="7">
        <f>IF($B27="","",IFERROR(VLOOKUP($B27,'בתים ומוצבים'!$A$3:$B$32,2,FALSE),""))</f>
        <v/>
      </c>
      <c r="D27" s="7" t="n"/>
      <c r="E27" s="6" t="n"/>
      <c r="F27" s="7" t="n"/>
      <c r="G27" s="7" t="n"/>
      <c r="H27" s="7" t="n"/>
      <c r="I27" s="7" t="n"/>
      <c r="J27" s="7" t="n"/>
      <c r="K27" s="7" t="n"/>
      <c r="L27" s="7">
        <f>IF(OR($I27="",$K27=""),"",$I27-$K27)</f>
        <v/>
      </c>
      <c r="M27" s="6" t="n"/>
    </row>
    <row r="28">
      <c r="A28" s="7">
        <f>IF($E28="","",ROW()-2)</f>
        <v/>
      </c>
      <c r="B28" s="7" t="n"/>
      <c r="C28" s="7">
        <f>IF($B28="","",IFERROR(VLOOKUP($B28,'בתים ומוצבים'!$A$3:$B$32,2,FALSE),""))</f>
        <v/>
      </c>
      <c r="D28" s="7" t="n"/>
      <c r="E28" s="6" t="n"/>
      <c r="F28" s="7" t="n"/>
      <c r="G28" s="7" t="n"/>
      <c r="H28" s="7" t="n"/>
      <c r="I28" s="7" t="n"/>
      <c r="J28" s="7" t="n"/>
      <c r="K28" s="7" t="n"/>
      <c r="L28" s="7">
        <f>IF(OR($I28="",$K28=""),"",$I28-$K28)</f>
        <v/>
      </c>
      <c r="M28" s="6" t="n"/>
    </row>
    <row r="29">
      <c r="A29" s="7">
        <f>IF($E29="","",ROW()-2)</f>
        <v/>
      </c>
      <c r="B29" s="7" t="n"/>
      <c r="C29" s="7">
        <f>IF($B29="","",IFERROR(VLOOKUP($B29,'בתים ומוצבים'!$A$3:$B$32,2,FALSE),""))</f>
        <v/>
      </c>
      <c r="D29" s="7" t="n"/>
      <c r="E29" s="6" t="n"/>
      <c r="F29" s="7" t="n"/>
      <c r="G29" s="7" t="n"/>
      <c r="H29" s="7" t="n"/>
      <c r="I29" s="7" t="n"/>
      <c r="J29" s="7" t="n"/>
      <c r="K29" s="7" t="n"/>
      <c r="L29" s="7">
        <f>IF(OR($I29="",$K29=""),"",$I29-$K29)</f>
        <v/>
      </c>
      <c r="M29" s="6" t="n"/>
    </row>
    <row r="30">
      <c r="A30" s="7">
        <f>IF($E30="","",ROW()-2)</f>
        <v/>
      </c>
      <c r="B30" s="7" t="n"/>
      <c r="C30" s="7">
        <f>IF($B30="","",IFERROR(VLOOKUP($B30,'בתים ומוצבים'!$A$3:$B$32,2,FALSE),""))</f>
        <v/>
      </c>
      <c r="D30" s="7" t="n"/>
      <c r="E30" s="6" t="n"/>
      <c r="F30" s="7" t="n"/>
      <c r="G30" s="7" t="n"/>
      <c r="H30" s="7" t="n"/>
      <c r="I30" s="7" t="n"/>
      <c r="J30" s="7" t="n"/>
      <c r="K30" s="7" t="n"/>
      <c r="L30" s="7">
        <f>IF(OR($I30="",$K30=""),"",$I30-$K30)</f>
        <v/>
      </c>
      <c r="M30" s="6" t="n"/>
    </row>
    <row r="31">
      <c r="A31" s="7">
        <f>IF($E31="","",ROW()-2)</f>
        <v/>
      </c>
      <c r="B31" s="7" t="n"/>
      <c r="C31" s="7">
        <f>IF($B31="","",IFERROR(VLOOKUP($B31,'בתים ומוצבים'!$A$3:$B$32,2,FALSE),""))</f>
        <v/>
      </c>
      <c r="D31" s="7" t="n"/>
      <c r="E31" s="6" t="n"/>
      <c r="F31" s="7" t="n"/>
      <c r="G31" s="7" t="n"/>
      <c r="H31" s="7" t="n"/>
      <c r="I31" s="7" t="n"/>
      <c r="J31" s="7" t="n"/>
      <c r="K31" s="7" t="n"/>
      <c r="L31" s="7">
        <f>IF(OR($I31="",$K31=""),"",$I31-$K31)</f>
        <v/>
      </c>
      <c r="M31" s="6" t="n"/>
    </row>
    <row r="32">
      <c r="A32" s="7">
        <f>IF($E32="","",ROW()-2)</f>
        <v/>
      </c>
      <c r="B32" s="7" t="n"/>
      <c r="C32" s="7">
        <f>IF($B32="","",IFERROR(VLOOKUP($B32,'בתים ומוצבים'!$A$3:$B$32,2,FALSE),""))</f>
        <v/>
      </c>
      <c r="D32" s="7" t="n"/>
      <c r="E32" s="6" t="n"/>
      <c r="F32" s="7" t="n"/>
      <c r="G32" s="7" t="n"/>
      <c r="H32" s="7" t="n"/>
      <c r="I32" s="7" t="n"/>
      <c r="J32" s="7" t="n"/>
      <c r="K32" s="7" t="n"/>
      <c r="L32" s="7">
        <f>IF(OR($I32="",$K32=""),"",$I32-$K32)</f>
        <v/>
      </c>
      <c r="M32" s="6" t="n"/>
    </row>
    <row r="33">
      <c r="A33" s="7">
        <f>IF($E33="","",ROW()-2)</f>
        <v/>
      </c>
      <c r="B33" s="7" t="n"/>
      <c r="C33" s="7">
        <f>IF($B33="","",IFERROR(VLOOKUP($B33,'בתים ומוצבים'!$A$3:$B$32,2,FALSE),""))</f>
        <v/>
      </c>
      <c r="D33" s="7" t="n"/>
      <c r="E33" s="6" t="n"/>
      <c r="F33" s="7" t="n"/>
      <c r="G33" s="7" t="n"/>
      <c r="H33" s="7" t="n"/>
      <c r="I33" s="7" t="n"/>
      <c r="J33" s="7" t="n"/>
      <c r="K33" s="7" t="n"/>
      <c r="L33" s="7">
        <f>IF(OR($I33="",$K33=""),"",$I33-$K33)</f>
        <v/>
      </c>
      <c r="M33" s="6" t="n"/>
    </row>
    <row r="34">
      <c r="A34" s="7">
        <f>IF($E34="","",ROW()-2)</f>
        <v/>
      </c>
      <c r="B34" s="7" t="n"/>
      <c r="C34" s="7">
        <f>IF($B34="","",IFERROR(VLOOKUP($B34,'בתים ומוצבים'!$A$3:$B$32,2,FALSE),""))</f>
        <v/>
      </c>
      <c r="D34" s="7" t="n"/>
      <c r="E34" s="6" t="n"/>
      <c r="F34" s="7" t="n"/>
      <c r="G34" s="7" t="n"/>
      <c r="H34" s="7" t="n"/>
      <c r="I34" s="7" t="n"/>
      <c r="J34" s="7" t="n"/>
      <c r="K34" s="7" t="n"/>
      <c r="L34" s="7">
        <f>IF(OR($I34="",$K34=""),"",$I34-$K34)</f>
        <v/>
      </c>
      <c r="M34" s="6" t="n"/>
    </row>
    <row r="35">
      <c r="A35" s="7">
        <f>IF($E35="","",ROW()-2)</f>
        <v/>
      </c>
      <c r="B35" s="7" t="n"/>
      <c r="C35" s="7">
        <f>IF($B35="","",IFERROR(VLOOKUP($B35,'בתים ומוצבים'!$A$3:$B$32,2,FALSE),""))</f>
        <v/>
      </c>
      <c r="D35" s="7" t="n"/>
      <c r="E35" s="6" t="n"/>
      <c r="F35" s="7" t="n"/>
      <c r="G35" s="7" t="n"/>
      <c r="H35" s="7" t="n"/>
      <c r="I35" s="7" t="n"/>
      <c r="J35" s="7" t="n"/>
      <c r="K35" s="7" t="n"/>
      <c r="L35" s="7">
        <f>IF(OR($I35="",$K35=""),"",$I35-$K35)</f>
        <v/>
      </c>
      <c r="M35" s="6" t="n"/>
    </row>
    <row r="36">
      <c r="A36" s="7">
        <f>IF($E36="","",ROW()-2)</f>
        <v/>
      </c>
      <c r="B36" s="7" t="n"/>
      <c r="C36" s="7">
        <f>IF($B36="","",IFERROR(VLOOKUP($B36,'בתים ומוצבים'!$A$3:$B$32,2,FALSE),""))</f>
        <v/>
      </c>
      <c r="D36" s="7" t="n"/>
      <c r="E36" s="6" t="n"/>
      <c r="F36" s="7" t="n"/>
      <c r="G36" s="7" t="n"/>
      <c r="H36" s="7" t="n"/>
      <c r="I36" s="7" t="n"/>
      <c r="J36" s="7" t="n"/>
      <c r="K36" s="7" t="n"/>
      <c r="L36" s="7">
        <f>IF(OR($I36="",$K36=""),"",$I36-$K36)</f>
        <v/>
      </c>
      <c r="M36" s="6" t="n"/>
    </row>
    <row r="37">
      <c r="A37" s="7">
        <f>IF($E37="","",ROW()-2)</f>
        <v/>
      </c>
      <c r="B37" s="7" t="n"/>
      <c r="C37" s="7">
        <f>IF($B37="","",IFERROR(VLOOKUP($B37,'בתים ומוצבים'!$A$3:$B$32,2,FALSE),""))</f>
        <v/>
      </c>
      <c r="D37" s="7" t="n"/>
      <c r="E37" s="6" t="n"/>
      <c r="F37" s="7" t="n"/>
      <c r="G37" s="7" t="n"/>
      <c r="H37" s="7" t="n"/>
      <c r="I37" s="7" t="n"/>
      <c r="J37" s="7" t="n"/>
      <c r="K37" s="7" t="n"/>
      <c r="L37" s="7">
        <f>IF(OR($I37="",$K37=""),"",$I37-$K37)</f>
        <v/>
      </c>
      <c r="M37" s="6" t="n"/>
    </row>
    <row r="38">
      <c r="A38" s="7">
        <f>IF($E38="","",ROW()-2)</f>
        <v/>
      </c>
      <c r="B38" s="7" t="n"/>
      <c r="C38" s="7">
        <f>IF($B38="","",IFERROR(VLOOKUP($B38,'בתים ומוצבים'!$A$3:$B$32,2,FALSE),""))</f>
        <v/>
      </c>
      <c r="D38" s="7" t="n"/>
      <c r="E38" s="6" t="n"/>
      <c r="F38" s="7" t="n"/>
      <c r="G38" s="7" t="n"/>
      <c r="H38" s="7" t="n"/>
      <c r="I38" s="7" t="n"/>
      <c r="J38" s="7" t="n"/>
      <c r="K38" s="7" t="n"/>
      <c r="L38" s="7">
        <f>IF(OR($I38="",$K38=""),"",$I38-$K38)</f>
        <v/>
      </c>
      <c r="M38" s="6" t="n"/>
    </row>
    <row r="39">
      <c r="A39" s="7">
        <f>IF($E39="","",ROW()-2)</f>
        <v/>
      </c>
      <c r="B39" s="7" t="n"/>
      <c r="C39" s="7">
        <f>IF($B39="","",IFERROR(VLOOKUP($B39,'בתים ומוצבים'!$A$3:$B$32,2,FALSE),""))</f>
        <v/>
      </c>
      <c r="D39" s="7" t="n"/>
      <c r="E39" s="6" t="n"/>
      <c r="F39" s="7" t="n"/>
      <c r="G39" s="7" t="n"/>
      <c r="H39" s="7" t="n"/>
      <c r="I39" s="7" t="n"/>
      <c r="J39" s="7" t="n"/>
      <c r="K39" s="7" t="n"/>
      <c r="L39" s="7">
        <f>IF(OR($I39="",$K39=""),"",$I39-$K39)</f>
        <v/>
      </c>
      <c r="M39" s="6" t="n"/>
    </row>
    <row r="40">
      <c r="A40" s="7">
        <f>IF($E40="","",ROW()-2)</f>
        <v/>
      </c>
      <c r="B40" s="7" t="n"/>
      <c r="C40" s="7">
        <f>IF($B40="","",IFERROR(VLOOKUP($B40,'בתים ומוצבים'!$A$3:$B$32,2,FALSE),""))</f>
        <v/>
      </c>
      <c r="D40" s="7" t="n"/>
      <c r="E40" s="6" t="n"/>
      <c r="F40" s="7" t="n"/>
      <c r="G40" s="7" t="n"/>
      <c r="H40" s="7" t="n"/>
      <c r="I40" s="7" t="n"/>
      <c r="J40" s="7" t="n"/>
      <c r="K40" s="7" t="n"/>
      <c r="L40" s="7">
        <f>IF(OR($I40="",$K40=""),"",$I40-$K40)</f>
        <v/>
      </c>
      <c r="M40" s="6" t="n"/>
    </row>
    <row r="41">
      <c r="A41" s="7">
        <f>IF($E41="","",ROW()-2)</f>
        <v/>
      </c>
      <c r="B41" s="7" t="n"/>
      <c r="C41" s="7">
        <f>IF($B41="","",IFERROR(VLOOKUP($B41,'בתים ומוצבים'!$A$3:$B$32,2,FALSE),""))</f>
        <v/>
      </c>
      <c r="D41" s="7" t="n"/>
      <c r="E41" s="6" t="n"/>
      <c r="F41" s="7" t="n"/>
      <c r="G41" s="7" t="n"/>
      <c r="H41" s="7" t="n"/>
      <c r="I41" s="7" t="n"/>
      <c r="J41" s="7" t="n"/>
      <c r="K41" s="7" t="n"/>
      <c r="L41" s="7">
        <f>IF(OR($I41="",$K41=""),"",$I41-$K41)</f>
        <v/>
      </c>
      <c r="M41" s="6" t="n"/>
    </row>
    <row r="42">
      <c r="A42" s="7">
        <f>IF($E42="","",ROW()-2)</f>
        <v/>
      </c>
      <c r="B42" s="7" t="n"/>
      <c r="C42" s="7">
        <f>IF($B42="","",IFERROR(VLOOKUP($B42,'בתים ומוצבים'!$A$3:$B$32,2,FALSE),""))</f>
        <v/>
      </c>
      <c r="D42" s="7" t="n"/>
      <c r="E42" s="6" t="n"/>
      <c r="F42" s="7" t="n"/>
      <c r="G42" s="7" t="n"/>
      <c r="H42" s="7" t="n"/>
      <c r="I42" s="7" t="n"/>
      <c r="J42" s="7" t="n"/>
      <c r="K42" s="7" t="n"/>
      <c r="L42" s="7">
        <f>IF(OR($I42="",$K42=""),"",$I42-$K42)</f>
        <v/>
      </c>
      <c r="M42" s="6" t="n"/>
    </row>
    <row r="43">
      <c r="A43" s="7">
        <f>IF($E43="","",ROW()-2)</f>
        <v/>
      </c>
      <c r="B43" s="7" t="n"/>
      <c r="C43" s="7">
        <f>IF($B43="","",IFERROR(VLOOKUP($B43,'בתים ומוצבים'!$A$3:$B$32,2,FALSE),""))</f>
        <v/>
      </c>
      <c r="D43" s="7" t="n"/>
      <c r="E43" s="6" t="n"/>
      <c r="F43" s="7" t="n"/>
      <c r="G43" s="7" t="n"/>
      <c r="H43" s="7" t="n"/>
      <c r="I43" s="7" t="n"/>
      <c r="J43" s="7" t="n"/>
      <c r="K43" s="7" t="n"/>
      <c r="L43" s="7">
        <f>IF(OR($I43="",$K43=""),"",$I43-$K43)</f>
        <v/>
      </c>
      <c r="M43" s="6" t="n"/>
    </row>
    <row r="44">
      <c r="A44" s="7">
        <f>IF($E44="","",ROW()-2)</f>
        <v/>
      </c>
      <c r="B44" s="7" t="n"/>
      <c r="C44" s="7">
        <f>IF($B44="","",IFERROR(VLOOKUP($B44,'בתים ומוצבים'!$A$3:$B$32,2,FALSE),""))</f>
        <v/>
      </c>
      <c r="D44" s="7" t="n"/>
      <c r="E44" s="6" t="n"/>
      <c r="F44" s="7" t="n"/>
      <c r="G44" s="7" t="n"/>
      <c r="H44" s="7" t="n"/>
      <c r="I44" s="7" t="n"/>
      <c r="J44" s="7" t="n"/>
      <c r="K44" s="7" t="n"/>
      <c r="L44" s="7">
        <f>IF(OR($I44="",$K44=""),"",$I44-$K44)</f>
        <v/>
      </c>
      <c r="M44" s="6" t="n"/>
    </row>
    <row r="45">
      <c r="A45" s="7">
        <f>IF($E45="","",ROW()-2)</f>
        <v/>
      </c>
      <c r="B45" s="7" t="n"/>
      <c r="C45" s="7">
        <f>IF($B45="","",IFERROR(VLOOKUP($B45,'בתים ומוצבים'!$A$3:$B$32,2,FALSE),""))</f>
        <v/>
      </c>
      <c r="D45" s="7" t="n"/>
      <c r="E45" s="6" t="n"/>
      <c r="F45" s="7" t="n"/>
      <c r="G45" s="7" t="n"/>
      <c r="H45" s="7" t="n"/>
      <c r="I45" s="7" t="n"/>
      <c r="J45" s="7" t="n"/>
      <c r="K45" s="7" t="n"/>
      <c r="L45" s="7">
        <f>IF(OR($I45="",$K45=""),"",$I45-$K45)</f>
        <v/>
      </c>
      <c r="M45" s="6" t="n"/>
    </row>
    <row r="46">
      <c r="A46" s="7">
        <f>IF($E46="","",ROW()-2)</f>
        <v/>
      </c>
      <c r="B46" s="7" t="n"/>
      <c r="C46" s="7">
        <f>IF($B46="","",IFERROR(VLOOKUP($B46,'בתים ומוצבים'!$A$3:$B$32,2,FALSE),""))</f>
        <v/>
      </c>
      <c r="D46" s="7" t="n"/>
      <c r="E46" s="6" t="n"/>
      <c r="F46" s="7" t="n"/>
      <c r="G46" s="7" t="n"/>
      <c r="H46" s="7" t="n"/>
      <c r="I46" s="7" t="n"/>
      <c r="J46" s="7" t="n"/>
      <c r="K46" s="7" t="n"/>
      <c r="L46" s="7">
        <f>IF(OR($I46="",$K46=""),"",$I46-$K46)</f>
        <v/>
      </c>
      <c r="M46" s="6" t="n"/>
    </row>
    <row r="47">
      <c r="A47" s="7">
        <f>IF($E47="","",ROW()-2)</f>
        <v/>
      </c>
      <c r="B47" s="7" t="n"/>
      <c r="C47" s="7">
        <f>IF($B47="","",IFERROR(VLOOKUP($B47,'בתים ומוצבים'!$A$3:$B$32,2,FALSE),""))</f>
        <v/>
      </c>
      <c r="D47" s="7" t="n"/>
      <c r="E47" s="6" t="n"/>
      <c r="F47" s="7" t="n"/>
      <c r="G47" s="7" t="n"/>
      <c r="H47" s="7" t="n"/>
      <c r="I47" s="7" t="n"/>
      <c r="J47" s="7" t="n"/>
      <c r="K47" s="7" t="n"/>
      <c r="L47" s="7">
        <f>IF(OR($I47="",$K47=""),"",$I47-$K47)</f>
        <v/>
      </c>
      <c r="M47" s="6" t="n"/>
    </row>
    <row r="48">
      <c r="A48" s="7">
        <f>IF($E48="","",ROW()-2)</f>
        <v/>
      </c>
      <c r="B48" s="7" t="n"/>
      <c r="C48" s="7">
        <f>IF($B48="","",IFERROR(VLOOKUP($B48,'בתים ומוצבים'!$A$3:$B$32,2,FALSE),""))</f>
        <v/>
      </c>
      <c r="D48" s="7" t="n"/>
      <c r="E48" s="6" t="n"/>
      <c r="F48" s="7" t="n"/>
      <c r="G48" s="7" t="n"/>
      <c r="H48" s="7" t="n"/>
      <c r="I48" s="7" t="n"/>
      <c r="J48" s="7" t="n"/>
      <c r="K48" s="7" t="n"/>
      <c r="L48" s="7">
        <f>IF(OR($I48="",$K48=""),"",$I48-$K48)</f>
        <v/>
      </c>
      <c r="M48" s="6" t="n"/>
    </row>
    <row r="49">
      <c r="A49" s="7">
        <f>IF($E49="","",ROW()-2)</f>
        <v/>
      </c>
      <c r="B49" s="7" t="n"/>
      <c r="C49" s="7">
        <f>IF($B49="","",IFERROR(VLOOKUP($B49,'בתים ומוצבים'!$A$3:$B$32,2,FALSE),""))</f>
        <v/>
      </c>
      <c r="D49" s="7" t="n"/>
      <c r="E49" s="6" t="n"/>
      <c r="F49" s="7" t="n"/>
      <c r="G49" s="7" t="n"/>
      <c r="H49" s="7" t="n"/>
      <c r="I49" s="7" t="n"/>
      <c r="J49" s="7" t="n"/>
      <c r="K49" s="7" t="n"/>
      <c r="L49" s="7">
        <f>IF(OR($I49="",$K49=""),"",$I49-$K49)</f>
        <v/>
      </c>
      <c r="M49" s="6" t="n"/>
    </row>
    <row r="50">
      <c r="A50" s="7">
        <f>IF($E50="","",ROW()-2)</f>
        <v/>
      </c>
      <c r="B50" s="7" t="n"/>
      <c r="C50" s="7">
        <f>IF($B50="","",IFERROR(VLOOKUP($B50,'בתים ומוצבים'!$A$3:$B$32,2,FALSE),""))</f>
        <v/>
      </c>
      <c r="D50" s="7" t="n"/>
      <c r="E50" s="6" t="n"/>
      <c r="F50" s="7" t="n"/>
      <c r="G50" s="7" t="n"/>
      <c r="H50" s="7" t="n"/>
      <c r="I50" s="7" t="n"/>
      <c r="J50" s="7" t="n"/>
      <c r="K50" s="7" t="n"/>
      <c r="L50" s="7">
        <f>IF(OR($I50="",$K50=""),"",$I50-$K50)</f>
        <v/>
      </c>
      <c r="M50" s="6" t="n"/>
    </row>
    <row r="51">
      <c r="A51" s="7">
        <f>IF($E51="","",ROW()-2)</f>
        <v/>
      </c>
      <c r="B51" s="7" t="n"/>
      <c r="C51" s="7">
        <f>IF($B51="","",IFERROR(VLOOKUP($B51,'בתים ומוצבים'!$A$3:$B$32,2,FALSE),""))</f>
        <v/>
      </c>
      <c r="D51" s="7" t="n"/>
      <c r="E51" s="6" t="n"/>
      <c r="F51" s="7" t="n"/>
      <c r="G51" s="7" t="n"/>
      <c r="H51" s="7" t="n"/>
      <c r="I51" s="7" t="n"/>
      <c r="J51" s="7" t="n"/>
      <c r="K51" s="7" t="n"/>
      <c r="L51" s="7">
        <f>IF(OR($I51="",$K51=""),"",$I51-$K51)</f>
        <v/>
      </c>
      <c r="M51" s="6" t="n"/>
    </row>
    <row r="52">
      <c r="A52" s="7">
        <f>IF($E52="","",ROW()-2)</f>
        <v/>
      </c>
      <c r="B52" s="7" t="n"/>
      <c r="C52" s="7">
        <f>IF($B52="","",IFERROR(VLOOKUP($B52,'בתים ומוצבים'!$A$3:$B$32,2,FALSE),""))</f>
        <v/>
      </c>
      <c r="D52" s="7" t="n"/>
      <c r="E52" s="6" t="n"/>
      <c r="F52" s="7" t="n"/>
      <c r="G52" s="7" t="n"/>
      <c r="H52" s="7" t="n"/>
      <c r="I52" s="7" t="n"/>
      <c r="J52" s="7" t="n"/>
      <c r="K52" s="7" t="n"/>
      <c r="L52" s="7">
        <f>IF(OR($I52="",$K52=""),"",$I52-$K52)</f>
        <v/>
      </c>
      <c r="M52" s="6" t="n"/>
    </row>
    <row r="53">
      <c r="A53" s="7">
        <f>IF($E53="","",ROW()-2)</f>
        <v/>
      </c>
      <c r="B53" s="7" t="n"/>
      <c r="C53" s="7">
        <f>IF($B53="","",IFERROR(VLOOKUP($B53,'בתים ומוצבים'!$A$3:$B$32,2,FALSE),""))</f>
        <v/>
      </c>
      <c r="D53" s="7" t="n"/>
      <c r="E53" s="6" t="n"/>
      <c r="F53" s="7" t="n"/>
      <c r="G53" s="7" t="n"/>
      <c r="H53" s="7" t="n"/>
      <c r="I53" s="7" t="n"/>
      <c r="J53" s="7" t="n"/>
      <c r="K53" s="7" t="n"/>
      <c r="L53" s="7">
        <f>IF(OR($I53="",$K53=""),"",$I53-$K53)</f>
        <v/>
      </c>
      <c r="M53" s="6" t="n"/>
    </row>
    <row r="54">
      <c r="A54" s="7">
        <f>IF($E54="","",ROW()-2)</f>
        <v/>
      </c>
      <c r="B54" s="7" t="n"/>
      <c r="C54" s="7">
        <f>IF($B54="","",IFERROR(VLOOKUP($B54,'בתים ומוצבים'!$A$3:$B$32,2,FALSE),""))</f>
        <v/>
      </c>
      <c r="D54" s="7" t="n"/>
      <c r="E54" s="6" t="n"/>
      <c r="F54" s="7" t="n"/>
      <c r="G54" s="7" t="n"/>
      <c r="H54" s="7" t="n"/>
      <c r="I54" s="7" t="n"/>
      <c r="J54" s="7" t="n"/>
      <c r="K54" s="7" t="n"/>
      <c r="L54" s="7">
        <f>IF(OR($I54="",$K54=""),"",$I54-$K54)</f>
        <v/>
      </c>
      <c r="M54" s="6" t="n"/>
    </row>
    <row r="55">
      <c r="A55" s="7">
        <f>IF($E55="","",ROW()-2)</f>
        <v/>
      </c>
      <c r="B55" s="7" t="n"/>
      <c r="C55" s="7">
        <f>IF($B55="","",IFERROR(VLOOKUP($B55,'בתים ומוצבים'!$A$3:$B$32,2,FALSE),""))</f>
        <v/>
      </c>
      <c r="D55" s="7" t="n"/>
      <c r="E55" s="6" t="n"/>
      <c r="F55" s="7" t="n"/>
      <c r="G55" s="7" t="n"/>
      <c r="H55" s="7" t="n"/>
      <c r="I55" s="7" t="n"/>
      <c r="J55" s="7" t="n"/>
      <c r="K55" s="7" t="n"/>
      <c r="L55" s="7">
        <f>IF(OR($I55="",$K55=""),"",$I55-$K55)</f>
        <v/>
      </c>
      <c r="M55" s="6" t="n"/>
    </row>
    <row r="56">
      <c r="A56" s="7">
        <f>IF($E56="","",ROW()-2)</f>
        <v/>
      </c>
      <c r="B56" s="7" t="n"/>
      <c r="C56" s="7">
        <f>IF($B56="","",IFERROR(VLOOKUP($B56,'בתים ומוצבים'!$A$3:$B$32,2,FALSE),""))</f>
        <v/>
      </c>
      <c r="D56" s="7" t="n"/>
      <c r="E56" s="6" t="n"/>
      <c r="F56" s="7" t="n"/>
      <c r="G56" s="7" t="n"/>
      <c r="H56" s="7" t="n"/>
      <c r="I56" s="7" t="n"/>
      <c r="J56" s="7" t="n"/>
      <c r="K56" s="7" t="n"/>
      <c r="L56" s="7">
        <f>IF(OR($I56="",$K56=""),"",$I56-$K56)</f>
        <v/>
      </c>
      <c r="M56" s="6" t="n"/>
    </row>
    <row r="57">
      <c r="A57" s="7">
        <f>IF($E57="","",ROW()-2)</f>
        <v/>
      </c>
      <c r="B57" s="7" t="n"/>
      <c r="C57" s="7">
        <f>IF($B57="","",IFERROR(VLOOKUP($B57,'בתים ומוצבים'!$A$3:$B$32,2,FALSE),""))</f>
        <v/>
      </c>
      <c r="D57" s="7" t="n"/>
      <c r="E57" s="6" t="n"/>
      <c r="F57" s="7" t="n"/>
      <c r="G57" s="7" t="n"/>
      <c r="H57" s="7" t="n"/>
      <c r="I57" s="7" t="n"/>
      <c r="J57" s="7" t="n"/>
      <c r="K57" s="7" t="n"/>
      <c r="L57" s="7">
        <f>IF(OR($I57="",$K57=""),"",$I57-$K57)</f>
        <v/>
      </c>
      <c r="M57" s="6" t="n"/>
    </row>
    <row r="58">
      <c r="A58" s="7">
        <f>IF($E58="","",ROW()-2)</f>
        <v/>
      </c>
      <c r="B58" s="7" t="n"/>
      <c r="C58" s="7">
        <f>IF($B58="","",IFERROR(VLOOKUP($B58,'בתים ומוצבים'!$A$3:$B$32,2,FALSE),""))</f>
        <v/>
      </c>
      <c r="D58" s="7" t="n"/>
      <c r="E58" s="6" t="n"/>
      <c r="F58" s="7" t="n"/>
      <c r="G58" s="7" t="n"/>
      <c r="H58" s="7" t="n"/>
      <c r="I58" s="7" t="n"/>
      <c r="J58" s="7" t="n"/>
      <c r="K58" s="7" t="n"/>
      <c r="L58" s="7">
        <f>IF(OR($I58="",$K58=""),"",$I58-$K58)</f>
        <v/>
      </c>
      <c r="M58" s="6" t="n"/>
    </row>
    <row r="59">
      <c r="A59" s="7">
        <f>IF($E59="","",ROW()-2)</f>
        <v/>
      </c>
      <c r="B59" s="7" t="n"/>
      <c r="C59" s="7">
        <f>IF($B59="","",IFERROR(VLOOKUP($B59,'בתים ומוצבים'!$A$3:$B$32,2,FALSE),""))</f>
        <v/>
      </c>
      <c r="D59" s="7" t="n"/>
      <c r="E59" s="6" t="n"/>
      <c r="F59" s="7" t="n"/>
      <c r="G59" s="7" t="n"/>
      <c r="H59" s="7" t="n"/>
      <c r="I59" s="7" t="n"/>
      <c r="J59" s="7" t="n"/>
      <c r="K59" s="7" t="n"/>
      <c r="L59" s="7">
        <f>IF(OR($I59="",$K59=""),"",$I59-$K59)</f>
        <v/>
      </c>
      <c r="M59" s="6" t="n"/>
    </row>
    <row r="60">
      <c r="A60" s="7">
        <f>IF($E60="","",ROW()-2)</f>
        <v/>
      </c>
      <c r="B60" s="7" t="n"/>
      <c r="C60" s="7">
        <f>IF($B60="","",IFERROR(VLOOKUP($B60,'בתים ומוצבים'!$A$3:$B$32,2,FALSE),""))</f>
        <v/>
      </c>
      <c r="D60" s="7" t="n"/>
      <c r="E60" s="6" t="n"/>
      <c r="F60" s="7" t="n"/>
      <c r="G60" s="7" t="n"/>
      <c r="H60" s="7" t="n"/>
      <c r="I60" s="7" t="n"/>
      <c r="J60" s="7" t="n"/>
      <c r="K60" s="7" t="n"/>
      <c r="L60" s="7">
        <f>IF(OR($I60="",$K60=""),"",$I60-$K60)</f>
        <v/>
      </c>
      <c r="M60" s="6" t="n"/>
    </row>
    <row r="61">
      <c r="A61" s="7">
        <f>IF($E61="","",ROW()-2)</f>
        <v/>
      </c>
      <c r="B61" s="7" t="n"/>
      <c r="C61" s="7">
        <f>IF($B61="","",IFERROR(VLOOKUP($B61,'בתים ומוצבים'!$A$3:$B$32,2,FALSE),""))</f>
        <v/>
      </c>
      <c r="D61" s="7" t="n"/>
      <c r="E61" s="6" t="n"/>
      <c r="F61" s="7" t="n"/>
      <c r="G61" s="7" t="n"/>
      <c r="H61" s="7" t="n"/>
      <c r="I61" s="7" t="n"/>
      <c r="J61" s="7" t="n"/>
      <c r="K61" s="7" t="n"/>
      <c r="L61" s="7">
        <f>IF(OR($I61="",$K61=""),"",$I61-$K61)</f>
        <v/>
      </c>
      <c r="M61" s="6" t="n"/>
    </row>
    <row r="62">
      <c r="A62" s="7">
        <f>IF($E62="","",ROW()-2)</f>
        <v/>
      </c>
      <c r="B62" s="7" t="n"/>
      <c r="C62" s="7">
        <f>IF($B62="","",IFERROR(VLOOKUP($B62,'בתים ומוצבים'!$A$3:$B$32,2,FALSE),""))</f>
        <v/>
      </c>
      <c r="D62" s="7" t="n"/>
      <c r="E62" s="6" t="n"/>
      <c r="F62" s="7" t="n"/>
      <c r="G62" s="7" t="n"/>
      <c r="H62" s="7" t="n"/>
      <c r="I62" s="7" t="n"/>
      <c r="J62" s="7" t="n"/>
      <c r="K62" s="7" t="n"/>
      <c r="L62" s="7">
        <f>IF(OR($I62="",$K62=""),"",$I62-$K62)</f>
        <v/>
      </c>
      <c r="M62" s="6" t="n"/>
    </row>
    <row r="63">
      <c r="A63" s="7">
        <f>IF($E63="","",ROW()-2)</f>
        <v/>
      </c>
      <c r="B63" s="7" t="n"/>
      <c r="C63" s="7">
        <f>IF($B63="","",IFERROR(VLOOKUP($B63,'בתים ומוצבים'!$A$3:$B$32,2,FALSE),""))</f>
        <v/>
      </c>
      <c r="D63" s="7" t="n"/>
      <c r="E63" s="6" t="n"/>
      <c r="F63" s="7" t="n"/>
      <c r="G63" s="7" t="n"/>
      <c r="H63" s="7" t="n"/>
      <c r="I63" s="7" t="n"/>
      <c r="J63" s="7" t="n"/>
      <c r="K63" s="7" t="n"/>
      <c r="L63" s="7">
        <f>IF(OR($I63="",$K63=""),"",$I63-$K63)</f>
        <v/>
      </c>
      <c r="M63" s="6" t="n"/>
    </row>
    <row r="64">
      <c r="A64" s="7">
        <f>IF($E64="","",ROW()-2)</f>
        <v/>
      </c>
      <c r="B64" s="7" t="n"/>
      <c r="C64" s="7">
        <f>IF($B64="","",IFERROR(VLOOKUP($B64,'בתים ומוצבים'!$A$3:$B$32,2,FALSE),""))</f>
        <v/>
      </c>
      <c r="D64" s="7" t="n"/>
      <c r="E64" s="6" t="n"/>
      <c r="F64" s="7" t="n"/>
      <c r="G64" s="7" t="n"/>
      <c r="H64" s="7" t="n"/>
      <c r="I64" s="7" t="n"/>
      <c r="J64" s="7" t="n"/>
      <c r="K64" s="7" t="n"/>
      <c r="L64" s="7">
        <f>IF(OR($I64="",$K64=""),"",$I64-$K64)</f>
        <v/>
      </c>
      <c r="M64" s="6" t="n"/>
    </row>
    <row r="65">
      <c r="A65" s="7">
        <f>IF($E65="","",ROW()-2)</f>
        <v/>
      </c>
      <c r="B65" s="7" t="n"/>
      <c r="C65" s="7">
        <f>IF($B65="","",IFERROR(VLOOKUP($B65,'בתים ומוצבים'!$A$3:$B$32,2,FALSE),""))</f>
        <v/>
      </c>
      <c r="D65" s="7" t="n"/>
      <c r="E65" s="6" t="n"/>
      <c r="F65" s="7" t="n"/>
      <c r="G65" s="7" t="n"/>
      <c r="H65" s="7" t="n"/>
      <c r="I65" s="7" t="n"/>
      <c r="J65" s="7" t="n"/>
      <c r="K65" s="7" t="n"/>
      <c r="L65" s="7">
        <f>IF(OR($I65="",$K65=""),"",$I65-$K65)</f>
        <v/>
      </c>
      <c r="M65" s="6" t="n"/>
    </row>
    <row r="66">
      <c r="A66" s="7">
        <f>IF($E66="","",ROW()-2)</f>
        <v/>
      </c>
      <c r="B66" s="7" t="n"/>
      <c r="C66" s="7">
        <f>IF($B66="","",IFERROR(VLOOKUP($B66,'בתים ומוצבים'!$A$3:$B$32,2,FALSE),""))</f>
        <v/>
      </c>
      <c r="D66" s="7" t="n"/>
      <c r="E66" s="6" t="n"/>
      <c r="F66" s="7" t="n"/>
      <c r="G66" s="7" t="n"/>
      <c r="H66" s="7" t="n"/>
      <c r="I66" s="7" t="n"/>
      <c r="J66" s="7" t="n"/>
      <c r="K66" s="7" t="n"/>
      <c r="L66" s="7">
        <f>IF(OR($I66="",$K66=""),"",$I66-$K66)</f>
        <v/>
      </c>
      <c r="M66" s="6" t="n"/>
    </row>
    <row r="67">
      <c r="A67" s="7">
        <f>IF($E67="","",ROW()-2)</f>
        <v/>
      </c>
      <c r="B67" s="7" t="n"/>
      <c r="C67" s="7">
        <f>IF($B67="","",IFERROR(VLOOKUP($B67,'בתים ומוצבים'!$A$3:$B$32,2,FALSE),""))</f>
        <v/>
      </c>
      <c r="D67" s="7" t="n"/>
      <c r="E67" s="6" t="n"/>
      <c r="F67" s="7" t="n"/>
      <c r="G67" s="7" t="n"/>
      <c r="H67" s="7" t="n"/>
      <c r="I67" s="7" t="n"/>
      <c r="J67" s="7" t="n"/>
      <c r="K67" s="7" t="n"/>
      <c r="L67" s="7">
        <f>IF(OR($I67="",$K67=""),"",$I67-$K67)</f>
        <v/>
      </c>
      <c r="M67" s="6" t="n"/>
    </row>
    <row r="68">
      <c r="A68" s="7">
        <f>IF($E68="","",ROW()-2)</f>
        <v/>
      </c>
      <c r="B68" s="7" t="n"/>
      <c r="C68" s="7">
        <f>IF($B68="","",IFERROR(VLOOKUP($B68,'בתים ומוצבים'!$A$3:$B$32,2,FALSE),""))</f>
        <v/>
      </c>
      <c r="D68" s="7" t="n"/>
      <c r="E68" s="6" t="n"/>
      <c r="F68" s="7" t="n"/>
      <c r="G68" s="7" t="n"/>
      <c r="H68" s="7" t="n"/>
      <c r="I68" s="7" t="n"/>
      <c r="J68" s="7" t="n"/>
      <c r="K68" s="7" t="n"/>
      <c r="L68" s="7">
        <f>IF(OR($I68="",$K68=""),"",$I68-$K68)</f>
        <v/>
      </c>
      <c r="M68" s="6" t="n"/>
    </row>
    <row r="69">
      <c r="A69" s="7">
        <f>IF($E69="","",ROW()-2)</f>
        <v/>
      </c>
      <c r="B69" s="7" t="n"/>
      <c r="C69" s="7">
        <f>IF($B69="","",IFERROR(VLOOKUP($B69,'בתים ומוצבים'!$A$3:$B$32,2,FALSE),""))</f>
        <v/>
      </c>
      <c r="D69" s="7" t="n"/>
      <c r="E69" s="6" t="n"/>
      <c r="F69" s="7" t="n"/>
      <c r="G69" s="7" t="n"/>
      <c r="H69" s="7" t="n"/>
      <c r="I69" s="7" t="n"/>
      <c r="J69" s="7" t="n"/>
      <c r="K69" s="7" t="n"/>
      <c r="L69" s="7">
        <f>IF(OR($I69="",$K69=""),"",$I69-$K69)</f>
        <v/>
      </c>
      <c r="M69" s="6" t="n"/>
    </row>
    <row r="70">
      <c r="A70" s="7">
        <f>IF($E70="","",ROW()-2)</f>
        <v/>
      </c>
      <c r="B70" s="7" t="n"/>
      <c r="C70" s="7">
        <f>IF($B70="","",IFERROR(VLOOKUP($B70,'בתים ומוצבים'!$A$3:$B$32,2,FALSE),""))</f>
        <v/>
      </c>
      <c r="D70" s="7" t="n"/>
      <c r="E70" s="6" t="n"/>
      <c r="F70" s="7" t="n"/>
      <c r="G70" s="7" t="n"/>
      <c r="H70" s="7" t="n"/>
      <c r="I70" s="7" t="n"/>
      <c r="J70" s="7" t="n"/>
      <c r="K70" s="7" t="n"/>
      <c r="L70" s="7">
        <f>IF(OR($I70="",$K70=""),"",$I70-$K70)</f>
        <v/>
      </c>
      <c r="M70" s="6" t="n"/>
    </row>
    <row r="71">
      <c r="A71" s="7">
        <f>IF($E71="","",ROW()-2)</f>
        <v/>
      </c>
      <c r="B71" s="7" t="n"/>
      <c r="C71" s="7">
        <f>IF($B71="","",IFERROR(VLOOKUP($B71,'בתים ומוצבים'!$A$3:$B$32,2,FALSE),""))</f>
        <v/>
      </c>
      <c r="D71" s="7" t="n"/>
      <c r="E71" s="6" t="n"/>
      <c r="F71" s="7" t="n"/>
      <c r="G71" s="7" t="n"/>
      <c r="H71" s="7" t="n"/>
      <c r="I71" s="7" t="n"/>
      <c r="J71" s="7" t="n"/>
      <c r="K71" s="7" t="n"/>
      <c r="L71" s="7">
        <f>IF(OR($I71="",$K71=""),"",$I71-$K71)</f>
        <v/>
      </c>
      <c r="M71" s="6" t="n"/>
    </row>
    <row r="72">
      <c r="A72" s="7">
        <f>IF($E72="","",ROW()-2)</f>
        <v/>
      </c>
      <c r="B72" s="7" t="n"/>
      <c r="C72" s="7">
        <f>IF($B72="","",IFERROR(VLOOKUP($B72,'בתים ומוצבים'!$A$3:$B$32,2,FALSE),""))</f>
        <v/>
      </c>
      <c r="D72" s="7" t="n"/>
      <c r="E72" s="6" t="n"/>
      <c r="F72" s="7" t="n"/>
      <c r="G72" s="7" t="n"/>
      <c r="H72" s="7" t="n"/>
      <c r="I72" s="7" t="n"/>
      <c r="J72" s="7" t="n"/>
      <c r="K72" s="7" t="n"/>
      <c r="L72" s="7">
        <f>IF(OR($I72="",$K72=""),"",$I72-$K72)</f>
        <v/>
      </c>
      <c r="M72" s="6" t="n"/>
    </row>
    <row r="73">
      <c r="A73" s="7">
        <f>IF($E73="","",ROW()-2)</f>
        <v/>
      </c>
      <c r="B73" s="7" t="n"/>
      <c r="C73" s="7">
        <f>IF($B73="","",IFERROR(VLOOKUP($B73,'בתים ומוצבים'!$A$3:$B$32,2,FALSE),""))</f>
        <v/>
      </c>
      <c r="D73" s="7" t="n"/>
      <c r="E73" s="6" t="n"/>
      <c r="F73" s="7" t="n"/>
      <c r="G73" s="7" t="n"/>
      <c r="H73" s="7" t="n"/>
      <c r="I73" s="7" t="n"/>
      <c r="J73" s="7" t="n"/>
      <c r="K73" s="7" t="n"/>
      <c r="L73" s="7">
        <f>IF(OR($I73="",$K73=""),"",$I73-$K73)</f>
        <v/>
      </c>
      <c r="M73" s="6" t="n"/>
    </row>
    <row r="74">
      <c r="A74" s="7">
        <f>IF($E74="","",ROW()-2)</f>
        <v/>
      </c>
      <c r="B74" s="7" t="n"/>
      <c r="C74" s="7">
        <f>IF($B74="","",IFERROR(VLOOKUP($B74,'בתים ומוצבים'!$A$3:$B$32,2,FALSE),""))</f>
        <v/>
      </c>
      <c r="D74" s="7" t="n"/>
      <c r="E74" s="6" t="n"/>
      <c r="F74" s="7" t="n"/>
      <c r="G74" s="7" t="n"/>
      <c r="H74" s="7" t="n"/>
      <c r="I74" s="7" t="n"/>
      <c r="J74" s="7" t="n"/>
      <c r="K74" s="7" t="n"/>
      <c r="L74" s="7">
        <f>IF(OR($I74="",$K74=""),"",$I74-$K74)</f>
        <v/>
      </c>
      <c r="M74" s="6" t="n"/>
    </row>
    <row r="75">
      <c r="A75" s="7">
        <f>IF($E75="","",ROW()-2)</f>
        <v/>
      </c>
      <c r="B75" s="7" t="n"/>
      <c r="C75" s="7">
        <f>IF($B75="","",IFERROR(VLOOKUP($B75,'בתים ומוצבים'!$A$3:$B$32,2,FALSE),""))</f>
        <v/>
      </c>
      <c r="D75" s="7" t="n"/>
      <c r="E75" s="6" t="n"/>
      <c r="F75" s="7" t="n"/>
      <c r="G75" s="7" t="n"/>
      <c r="H75" s="7" t="n"/>
      <c r="I75" s="7" t="n"/>
      <c r="J75" s="7" t="n"/>
      <c r="K75" s="7" t="n"/>
      <c r="L75" s="7">
        <f>IF(OR($I75="",$K75=""),"",$I75-$K75)</f>
        <v/>
      </c>
      <c r="M75" s="6" t="n"/>
    </row>
    <row r="76">
      <c r="A76" s="7">
        <f>IF($E76="","",ROW()-2)</f>
        <v/>
      </c>
      <c r="B76" s="7" t="n"/>
      <c r="C76" s="7">
        <f>IF($B76="","",IFERROR(VLOOKUP($B76,'בתים ומוצבים'!$A$3:$B$32,2,FALSE),""))</f>
        <v/>
      </c>
      <c r="D76" s="7" t="n"/>
      <c r="E76" s="6" t="n"/>
      <c r="F76" s="7" t="n"/>
      <c r="G76" s="7" t="n"/>
      <c r="H76" s="7" t="n"/>
      <c r="I76" s="7" t="n"/>
      <c r="J76" s="7" t="n"/>
      <c r="K76" s="7" t="n"/>
      <c r="L76" s="7">
        <f>IF(OR($I76="",$K76=""),"",$I76-$K76)</f>
        <v/>
      </c>
      <c r="M76" s="6" t="n"/>
    </row>
    <row r="77">
      <c r="A77" s="7">
        <f>IF($E77="","",ROW()-2)</f>
        <v/>
      </c>
      <c r="B77" s="7" t="n"/>
      <c r="C77" s="7">
        <f>IF($B77="","",IFERROR(VLOOKUP($B77,'בתים ומוצבים'!$A$3:$B$32,2,FALSE),""))</f>
        <v/>
      </c>
      <c r="D77" s="7" t="n"/>
      <c r="E77" s="6" t="n"/>
      <c r="F77" s="7" t="n"/>
      <c r="G77" s="7" t="n"/>
      <c r="H77" s="7" t="n"/>
      <c r="I77" s="7" t="n"/>
      <c r="J77" s="7" t="n"/>
      <c r="K77" s="7" t="n"/>
      <c r="L77" s="7">
        <f>IF(OR($I77="",$K77=""),"",$I77-$K77)</f>
        <v/>
      </c>
      <c r="M77" s="6" t="n"/>
    </row>
    <row r="78">
      <c r="A78" s="7">
        <f>IF($E78="","",ROW()-2)</f>
        <v/>
      </c>
      <c r="B78" s="7" t="n"/>
      <c r="C78" s="7">
        <f>IF($B78="","",IFERROR(VLOOKUP($B78,'בתים ומוצבים'!$A$3:$B$32,2,FALSE),""))</f>
        <v/>
      </c>
      <c r="D78" s="7" t="n"/>
      <c r="E78" s="6" t="n"/>
      <c r="F78" s="7" t="n"/>
      <c r="G78" s="7" t="n"/>
      <c r="H78" s="7" t="n"/>
      <c r="I78" s="7" t="n"/>
      <c r="J78" s="7" t="n"/>
      <c r="K78" s="7" t="n"/>
      <c r="L78" s="7">
        <f>IF(OR($I78="",$K78=""),"",$I78-$K78)</f>
        <v/>
      </c>
      <c r="M78" s="6" t="n"/>
    </row>
    <row r="79">
      <c r="A79" s="7">
        <f>IF($E79="","",ROW()-2)</f>
        <v/>
      </c>
      <c r="B79" s="7" t="n"/>
      <c r="C79" s="7">
        <f>IF($B79="","",IFERROR(VLOOKUP($B79,'בתים ומוצבים'!$A$3:$B$32,2,FALSE),""))</f>
        <v/>
      </c>
      <c r="D79" s="7" t="n"/>
      <c r="E79" s="6" t="n"/>
      <c r="F79" s="7" t="n"/>
      <c r="G79" s="7" t="n"/>
      <c r="H79" s="7" t="n"/>
      <c r="I79" s="7" t="n"/>
      <c r="J79" s="7" t="n"/>
      <c r="K79" s="7" t="n"/>
      <c r="L79" s="7">
        <f>IF(OR($I79="",$K79=""),"",$I79-$K79)</f>
        <v/>
      </c>
      <c r="M79" s="6" t="n"/>
    </row>
    <row r="80">
      <c r="A80" s="7">
        <f>IF($E80="","",ROW()-2)</f>
        <v/>
      </c>
      <c r="B80" s="7" t="n"/>
      <c r="C80" s="7">
        <f>IF($B80="","",IFERROR(VLOOKUP($B80,'בתים ומוצבים'!$A$3:$B$32,2,FALSE),""))</f>
        <v/>
      </c>
      <c r="D80" s="7" t="n"/>
      <c r="E80" s="6" t="n"/>
      <c r="F80" s="7" t="n"/>
      <c r="G80" s="7" t="n"/>
      <c r="H80" s="7" t="n"/>
      <c r="I80" s="7" t="n"/>
      <c r="J80" s="7" t="n"/>
      <c r="K80" s="7" t="n"/>
      <c r="L80" s="7">
        <f>IF(OR($I80="",$K80=""),"",$I80-$K80)</f>
        <v/>
      </c>
      <c r="M80" s="6" t="n"/>
    </row>
    <row r="81">
      <c r="A81" s="7">
        <f>IF($E81="","",ROW()-2)</f>
        <v/>
      </c>
      <c r="B81" s="7" t="n"/>
      <c r="C81" s="7">
        <f>IF($B81="","",IFERROR(VLOOKUP($B81,'בתים ומוצבים'!$A$3:$B$32,2,FALSE),""))</f>
        <v/>
      </c>
      <c r="D81" s="7" t="n"/>
      <c r="E81" s="6" t="n"/>
      <c r="F81" s="7" t="n"/>
      <c r="G81" s="7" t="n"/>
      <c r="H81" s="7" t="n"/>
      <c r="I81" s="7" t="n"/>
      <c r="J81" s="7" t="n"/>
      <c r="K81" s="7" t="n"/>
      <c r="L81" s="7">
        <f>IF(OR($I81="",$K81=""),"",$I81-$K81)</f>
        <v/>
      </c>
      <c r="M81" s="6" t="n"/>
    </row>
    <row r="82">
      <c r="A82" s="7">
        <f>IF($E82="","",ROW()-2)</f>
        <v/>
      </c>
      <c r="B82" s="7" t="n"/>
      <c r="C82" s="7">
        <f>IF($B82="","",IFERROR(VLOOKUP($B82,'בתים ומוצבים'!$A$3:$B$32,2,FALSE),""))</f>
        <v/>
      </c>
      <c r="D82" s="7" t="n"/>
      <c r="E82" s="6" t="n"/>
      <c r="F82" s="7" t="n"/>
      <c r="G82" s="7" t="n"/>
      <c r="H82" s="7" t="n"/>
      <c r="I82" s="7" t="n"/>
      <c r="J82" s="7" t="n"/>
      <c r="K82" s="7" t="n"/>
      <c r="L82" s="7">
        <f>IF(OR($I82="",$K82=""),"",$I82-$K82)</f>
        <v/>
      </c>
      <c r="M82" s="6" t="n"/>
    </row>
    <row r="83">
      <c r="A83" s="7">
        <f>IF($E83="","",ROW()-2)</f>
        <v/>
      </c>
      <c r="B83" s="7" t="n"/>
      <c r="C83" s="7">
        <f>IF($B83="","",IFERROR(VLOOKUP($B83,'בתים ומוצבים'!$A$3:$B$32,2,FALSE),""))</f>
        <v/>
      </c>
      <c r="D83" s="7" t="n"/>
      <c r="E83" s="6" t="n"/>
      <c r="F83" s="7" t="n"/>
      <c r="G83" s="7" t="n"/>
      <c r="H83" s="7" t="n"/>
      <c r="I83" s="7" t="n"/>
      <c r="J83" s="7" t="n"/>
      <c r="K83" s="7" t="n"/>
      <c r="L83" s="7">
        <f>IF(OR($I83="",$K83=""),"",$I83-$K83)</f>
        <v/>
      </c>
      <c r="M83" s="6" t="n"/>
    </row>
    <row r="84">
      <c r="A84" s="7">
        <f>IF($E84="","",ROW()-2)</f>
        <v/>
      </c>
      <c r="B84" s="7" t="n"/>
      <c r="C84" s="7">
        <f>IF($B84="","",IFERROR(VLOOKUP($B84,'בתים ומוצבים'!$A$3:$B$32,2,FALSE),""))</f>
        <v/>
      </c>
      <c r="D84" s="7" t="n"/>
      <c r="E84" s="6" t="n"/>
      <c r="F84" s="7" t="n"/>
      <c r="G84" s="7" t="n"/>
      <c r="H84" s="7" t="n"/>
      <c r="I84" s="7" t="n"/>
      <c r="J84" s="7" t="n"/>
      <c r="K84" s="7" t="n"/>
      <c r="L84" s="7">
        <f>IF(OR($I84="",$K84=""),"",$I84-$K84)</f>
        <v/>
      </c>
      <c r="M84" s="6" t="n"/>
    </row>
    <row r="85">
      <c r="A85" s="7">
        <f>IF($E85="","",ROW()-2)</f>
        <v/>
      </c>
      <c r="B85" s="7" t="n"/>
      <c r="C85" s="7">
        <f>IF($B85="","",IFERROR(VLOOKUP($B85,'בתים ומוצבים'!$A$3:$B$32,2,FALSE),""))</f>
        <v/>
      </c>
      <c r="D85" s="7" t="n"/>
      <c r="E85" s="6" t="n"/>
      <c r="F85" s="7" t="n"/>
      <c r="G85" s="7" t="n"/>
      <c r="H85" s="7" t="n"/>
      <c r="I85" s="7" t="n"/>
      <c r="J85" s="7" t="n"/>
      <c r="K85" s="7" t="n"/>
      <c r="L85" s="7">
        <f>IF(OR($I85="",$K85=""),"",$I85-$K85)</f>
        <v/>
      </c>
      <c r="M85" s="6" t="n"/>
    </row>
    <row r="86">
      <c r="A86" s="7">
        <f>IF($E86="","",ROW()-2)</f>
        <v/>
      </c>
      <c r="B86" s="7" t="n"/>
      <c r="C86" s="7">
        <f>IF($B86="","",IFERROR(VLOOKUP($B86,'בתים ומוצבים'!$A$3:$B$32,2,FALSE),""))</f>
        <v/>
      </c>
      <c r="D86" s="7" t="n"/>
      <c r="E86" s="6" t="n"/>
      <c r="F86" s="7" t="n"/>
      <c r="G86" s="7" t="n"/>
      <c r="H86" s="7" t="n"/>
      <c r="I86" s="7" t="n"/>
      <c r="J86" s="7" t="n"/>
      <c r="K86" s="7" t="n"/>
      <c r="L86" s="7">
        <f>IF(OR($I86="",$K86=""),"",$I86-$K86)</f>
        <v/>
      </c>
      <c r="M86" s="6" t="n"/>
    </row>
    <row r="87">
      <c r="A87" s="7">
        <f>IF($E87="","",ROW()-2)</f>
        <v/>
      </c>
      <c r="B87" s="7" t="n"/>
      <c r="C87" s="7">
        <f>IF($B87="","",IFERROR(VLOOKUP($B87,'בתים ומוצבים'!$A$3:$B$32,2,FALSE),""))</f>
        <v/>
      </c>
      <c r="D87" s="7" t="n"/>
      <c r="E87" s="6" t="n"/>
      <c r="F87" s="7" t="n"/>
      <c r="G87" s="7" t="n"/>
      <c r="H87" s="7" t="n"/>
      <c r="I87" s="7" t="n"/>
      <c r="J87" s="7" t="n"/>
      <c r="K87" s="7" t="n"/>
      <c r="L87" s="7">
        <f>IF(OR($I87="",$K87=""),"",$I87-$K87)</f>
        <v/>
      </c>
      <c r="M87" s="6" t="n"/>
    </row>
    <row r="88">
      <c r="A88" s="7">
        <f>IF($E88="","",ROW()-2)</f>
        <v/>
      </c>
      <c r="B88" s="7" t="n"/>
      <c r="C88" s="7">
        <f>IF($B88="","",IFERROR(VLOOKUP($B88,'בתים ומוצבים'!$A$3:$B$32,2,FALSE),""))</f>
        <v/>
      </c>
      <c r="D88" s="7" t="n"/>
      <c r="E88" s="6" t="n"/>
      <c r="F88" s="7" t="n"/>
      <c r="G88" s="7" t="n"/>
      <c r="H88" s="7" t="n"/>
      <c r="I88" s="7" t="n"/>
      <c r="J88" s="7" t="n"/>
      <c r="K88" s="7" t="n"/>
      <c r="L88" s="7">
        <f>IF(OR($I88="",$K88=""),"",$I88-$K88)</f>
        <v/>
      </c>
      <c r="M88" s="6" t="n"/>
    </row>
    <row r="89">
      <c r="A89" s="7">
        <f>IF($E89="","",ROW()-2)</f>
        <v/>
      </c>
      <c r="B89" s="7" t="n"/>
      <c r="C89" s="7">
        <f>IF($B89="","",IFERROR(VLOOKUP($B89,'בתים ומוצבים'!$A$3:$B$32,2,FALSE),""))</f>
        <v/>
      </c>
      <c r="D89" s="7" t="n"/>
      <c r="E89" s="6" t="n"/>
      <c r="F89" s="7" t="n"/>
      <c r="G89" s="7" t="n"/>
      <c r="H89" s="7" t="n"/>
      <c r="I89" s="7" t="n"/>
      <c r="J89" s="7" t="n"/>
      <c r="K89" s="7" t="n"/>
      <c r="L89" s="7">
        <f>IF(OR($I89="",$K89=""),"",$I89-$K89)</f>
        <v/>
      </c>
      <c r="M89" s="6" t="n"/>
    </row>
    <row r="90">
      <c r="A90" s="7">
        <f>IF($E90="","",ROW()-2)</f>
        <v/>
      </c>
      <c r="B90" s="7" t="n"/>
      <c r="C90" s="7">
        <f>IF($B90="","",IFERROR(VLOOKUP($B90,'בתים ומוצבים'!$A$3:$B$32,2,FALSE),""))</f>
        <v/>
      </c>
      <c r="D90" s="7" t="n"/>
      <c r="E90" s="6" t="n"/>
      <c r="F90" s="7" t="n"/>
      <c r="G90" s="7" t="n"/>
      <c r="H90" s="7" t="n"/>
      <c r="I90" s="7" t="n"/>
      <c r="J90" s="7" t="n"/>
      <c r="K90" s="7" t="n"/>
      <c r="L90" s="7">
        <f>IF(OR($I90="",$K90=""),"",$I90-$K90)</f>
        <v/>
      </c>
      <c r="M90" s="6" t="n"/>
    </row>
    <row r="91">
      <c r="A91" s="7">
        <f>IF($E91="","",ROW()-2)</f>
        <v/>
      </c>
      <c r="B91" s="7" t="n"/>
      <c r="C91" s="7">
        <f>IF($B91="","",IFERROR(VLOOKUP($B91,'בתים ומוצבים'!$A$3:$B$32,2,FALSE),""))</f>
        <v/>
      </c>
      <c r="D91" s="7" t="n"/>
      <c r="E91" s="6" t="n"/>
      <c r="F91" s="7" t="n"/>
      <c r="G91" s="7" t="n"/>
      <c r="H91" s="7" t="n"/>
      <c r="I91" s="7" t="n"/>
      <c r="J91" s="7" t="n"/>
      <c r="K91" s="7" t="n"/>
      <c r="L91" s="7">
        <f>IF(OR($I91="",$K91=""),"",$I91-$K91)</f>
        <v/>
      </c>
      <c r="M91" s="6" t="n"/>
    </row>
    <row r="92">
      <c r="A92" s="7">
        <f>IF($E92="","",ROW()-2)</f>
        <v/>
      </c>
      <c r="B92" s="7" t="n"/>
      <c r="C92" s="7">
        <f>IF($B92="","",IFERROR(VLOOKUP($B92,'בתים ומוצבים'!$A$3:$B$32,2,FALSE),""))</f>
        <v/>
      </c>
      <c r="D92" s="7" t="n"/>
      <c r="E92" s="6" t="n"/>
      <c r="F92" s="7" t="n"/>
      <c r="G92" s="7" t="n"/>
      <c r="H92" s="7" t="n"/>
      <c r="I92" s="7" t="n"/>
      <c r="J92" s="7" t="n"/>
      <c r="K92" s="7" t="n"/>
      <c r="L92" s="7">
        <f>IF(OR($I92="",$K92=""),"",$I92-$K92)</f>
        <v/>
      </c>
      <c r="M92" s="6" t="n"/>
    </row>
    <row r="93">
      <c r="A93" s="7">
        <f>IF($E93="","",ROW()-2)</f>
        <v/>
      </c>
      <c r="B93" s="7" t="n"/>
      <c r="C93" s="7">
        <f>IF($B93="","",IFERROR(VLOOKUP($B93,'בתים ומוצבים'!$A$3:$B$32,2,FALSE),""))</f>
        <v/>
      </c>
      <c r="D93" s="7" t="n"/>
      <c r="E93" s="6" t="n"/>
      <c r="F93" s="7" t="n"/>
      <c r="G93" s="7" t="n"/>
      <c r="H93" s="7" t="n"/>
      <c r="I93" s="7" t="n"/>
      <c r="J93" s="7" t="n"/>
      <c r="K93" s="7" t="n"/>
      <c r="L93" s="7">
        <f>IF(OR($I93="",$K93=""),"",$I93-$K93)</f>
        <v/>
      </c>
      <c r="M93" s="6" t="n"/>
    </row>
    <row r="94">
      <c r="A94" s="7">
        <f>IF($E94="","",ROW()-2)</f>
        <v/>
      </c>
      <c r="B94" s="7" t="n"/>
      <c r="C94" s="7">
        <f>IF($B94="","",IFERROR(VLOOKUP($B94,'בתים ומוצבים'!$A$3:$B$32,2,FALSE),""))</f>
        <v/>
      </c>
      <c r="D94" s="7" t="n"/>
      <c r="E94" s="6" t="n"/>
      <c r="F94" s="7" t="n"/>
      <c r="G94" s="7" t="n"/>
      <c r="H94" s="7" t="n"/>
      <c r="I94" s="7" t="n"/>
      <c r="J94" s="7" t="n"/>
      <c r="K94" s="7" t="n"/>
      <c r="L94" s="7">
        <f>IF(OR($I94="",$K94=""),"",$I94-$K94)</f>
        <v/>
      </c>
      <c r="M94" s="6" t="n"/>
    </row>
    <row r="95">
      <c r="A95" s="7">
        <f>IF($E95="","",ROW()-2)</f>
        <v/>
      </c>
      <c r="B95" s="7" t="n"/>
      <c r="C95" s="7">
        <f>IF($B95="","",IFERROR(VLOOKUP($B95,'בתים ומוצבים'!$A$3:$B$32,2,FALSE),""))</f>
        <v/>
      </c>
      <c r="D95" s="7" t="n"/>
      <c r="E95" s="6" t="n"/>
      <c r="F95" s="7" t="n"/>
      <c r="G95" s="7" t="n"/>
      <c r="H95" s="7" t="n"/>
      <c r="I95" s="7" t="n"/>
      <c r="J95" s="7" t="n"/>
      <c r="K95" s="7" t="n"/>
      <c r="L95" s="7">
        <f>IF(OR($I95="",$K95=""),"",$I95-$K95)</f>
        <v/>
      </c>
      <c r="M95" s="6" t="n"/>
    </row>
    <row r="96">
      <c r="A96" s="7">
        <f>IF($E96="","",ROW()-2)</f>
        <v/>
      </c>
      <c r="B96" s="7" t="n"/>
      <c r="C96" s="7">
        <f>IF($B96="","",IFERROR(VLOOKUP($B96,'בתים ומוצבים'!$A$3:$B$32,2,FALSE),""))</f>
        <v/>
      </c>
      <c r="D96" s="7" t="n"/>
      <c r="E96" s="6" t="n"/>
      <c r="F96" s="7" t="n"/>
      <c r="G96" s="7" t="n"/>
      <c r="H96" s="7" t="n"/>
      <c r="I96" s="7" t="n"/>
      <c r="J96" s="7" t="n"/>
      <c r="K96" s="7" t="n"/>
      <c r="L96" s="7">
        <f>IF(OR($I96="",$K96=""),"",$I96-$K96)</f>
        <v/>
      </c>
      <c r="M96" s="6" t="n"/>
    </row>
    <row r="97">
      <c r="A97" s="7">
        <f>IF($E97="","",ROW()-2)</f>
        <v/>
      </c>
      <c r="B97" s="7" t="n"/>
      <c r="C97" s="7">
        <f>IF($B97="","",IFERROR(VLOOKUP($B97,'בתים ומוצבים'!$A$3:$B$32,2,FALSE),""))</f>
        <v/>
      </c>
      <c r="D97" s="7" t="n"/>
      <c r="E97" s="6" t="n"/>
      <c r="F97" s="7" t="n"/>
      <c r="G97" s="7" t="n"/>
      <c r="H97" s="7" t="n"/>
      <c r="I97" s="7" t="n"/>
      <c r="J97" s="7" t="n"/>
      <c r="K97" s="7" t="n"/>
      <c r="L97" s="7">
        <f>IF(OR($I97="",$K97=""),"",$I97-$K97)</f>
        <v/>
      </c>
      <c r="M97" s="6" t="n"/>
    </row>
    <row r="98">
      <c r="A98" s="7">
        <f>IF($E98="","",ROW()-2)</f>
        <v/>
      </c>
      <c r="B98" s="7" t="n"/>
      <c r="C98" s="7">
        <f>IF($B98="","",IFERROR(VLOOKUP($B98,'בתים ומוצבים'!$A$3:$B$32,2,FALSE),""))</f>
        <v/>
      </c>
      <c r="D98" s="7" t="n"/>
      <c r="E98" s="6" t="n"/>
      <c r="F98" s="7" t="n"/>
      <c r="G98" s="7" t="n"/>
      <c r="H98" s="7" t="n"/>
      <c r="I98" s="7" t="n"/>
      <c r="J98" s="7" t="n"/>
      <c r="K98" s="7" t="n"/>
      <c r="L98" s="7">
        <f>IF(OR($I98="",$K98=""),"",$I98-$K98)</f>
        <v/>
      </c>
      <c r="M98" s="6" t="n"/>
    </row>
    <row r="99">
      <c r="A99" s="7">
        <f>IF($E99="","",ROW()-2)</f>
        <v/>
      </c>
      <c r="B99" s="7" t="n"/>
      <c r="C99" s="7">
        <f>IF($B99="","",IFERROR(VLOOKUP($B99,'בתים ומוצבים'!$A$3:$B$32,2,FALSE),""))</f>
        <v/>
      </c>
      <c r="D99" s="7" t="n"/>
      <c r="E99" s="6" t="n"/>
      <c r="F99" s="7" t="n"/>
      <c r="G99" s="7" t="n"/>
      <c r="H99" s="7" t="n"/>
      <c r="I99" s="7" t="n"/>
      <c r="J99" s="7" t="n"/>
      <c r="K99" s="7" t="n"/>
      <c r="L99" s="7">
        <f>IF(OR($I99="",$K99=""),"",$I99-$K99)</f>
        <v/>
      </c>
      <c r="M99" s="6" t="n"/>
    </row>
    <row r="100">
      <c r="A100" s="7">
        <f>IF($E100="","",ROW()-2)</f>
        <v/>
      </c>
      <c r="B100" s="7" t="n"/>
      <c r="C100" s="7">
        <f>IF($B100="","",IFERROR(VLOOKUP($B100,'בתים ומוצבים'!$A$3:$B$32,2,FALSE),""))</f>
        <v/>
      </c>
      <c r="D100" s="7" t="n"/>
      <c r="E100" s="6" t="n"/>
      <c r="F100" s="7" t="n"/>
      <c r="G100" s="7" t="n"/>
      <c r="H100" s="7" t="n"/>
      <c r="I100" s="7" t="n"/>
      <c r="J100" s="7" t="n"/>
      <c r="K100" s="7" t="n"/>
      <c r="L100" s="7">
        <f>IF(OR($I100="",$K100=""),"",$I100-$K100)</f>
        <v/>
      </c>
      <c r="M100" s="6" t="n"/>
    </row>
    <row r="101">
      <c r="A101" s="7">
        <f>IF($E101="","",ROW()-2)</f>
        <v/>
      </c>
      <c r="B101" s="7" t="n"/>
      <c r="C101" s="7">
        <f>IF($B101="","",IFERROR(VLOOKUP($B101,'בתים ומוצבים'!$A$3:$B$32,2,FALSE),""))</f>
        <v/>
      </c>
      <c r="D101" s="7" t="n"/>
      <c r="E101" s="6" t="n"/>
      <c r="F101" s="7" t="n"/>
      <c r="G101" s="7" t="n"/>
      <c r="H101" s="7" t="n"/>
      <c r="I101" s="7" t="n"/>
      <c r="J101" s="7" t="n"/>
      <c r="K101" s="7" t="n"/>
      <c r="L101" s="7">
        <f>IF(OR($I101="",$K101=""),"",$I101-$K101)</f>
        <v/>
      </c>
      <c r="M101" s="6" t="n"/>
    </row>
    <row r="102">
      <c r="A102" s="7">
        <f>IF($E102="","",ROW()-2)</f>
        <v/>
      </c>
      <c r="B102" s="7" t="n"/>
      <c r="C102" s="7">
        <f>IF($B102="","",IFERROR(VLOOKUP($B102,'בתים ומוצבים'!$A$3:$B$32,2,FALSE),""))</f>
        <v/>
      </c>
      <c r="D102" s="7" t="n"/>
      <c r="E102" s="6" t="n"/>
      <c r="F102" s="7" t="n"/>
      <c r="G102" s="7" t="n"/>
      <c r="H102" s="7" t="n"/>
      <c r="I102" s="7" t="n"/>
      <c r="J102" s="7" t="n"/>
      <c r="K102" s="7" t="n"/>
      <c r="L102" s="7">
        <f>IF(OR($I102="",$K102=""),"",$I102-$K102)</f>
        <v/>
      </c>
      <c r="M102" s="6" t="n"/>
    </row>
    <row r="103">
      <c r="A103" s="7">
        <f>IF($E103="","",ROW()-2)</f>
        <v/>
      </c>
      <c r="B103" s="7" t="n"/>
      <c r="C103" s="7">
        <f>IF($B103="","",IFERROR(VLOOKUP($B103,'בתים ומוצבים'!$A$3:$B$32,2,FALSE),""))</f>
        <v/>
      </c>
      <c r="D103" s="7" t="n"/>
      <c r="E103" s="6" t="n"/>
      <c r="F103" s="7" t="n"/>
      <c r="G103" s="7" t="n"/>
      <c r="H103" s="7" t="n"/>
      <c r="I103" s="7" t="n"/>
      <c r="J103" s="7" t="n"/>
      <c r="K103" s="7" t="n"/>
      <c r="L103" s="7">
        <f>IF(OR($I103="",$K103=""),"",$I103-$K103)</f>
        <v/>
      </c>
      <c r="M103" s="6" t="n"/>
    </row>
    <row r="104">
      <c r="A104" s="7">
        <f>IF($E104="","",ROW()-2)</f>
        <v/>
      </c>
      <c r="B104" s="7" t="n"/>
      <c r="C104" s="7">
        <f>IF($B104="","",IFERROR(VLOOKUP($B104,'בתים ומוצבים'!$A$3:$B$32,2,FALSE),""))</f>
        <v/>
      </c>
      <c r="D104" s="7" t="n"/>
      <c r="E104" s="6" t="n"/>
      <c r="F104" s="7" t="n"/>
      <c r="G104" s="7" t="n"/>
      <c r="H104" s="7" t="n"/>
      <c r="I104" s="7" t="n"/>
      <c r="J104" s="7" t="n"/>
      <c r="K104" s="7" t="n"/>
      <c r="L104" s="7">
        <f>IF(OR($I104="",$K104=""),"",$I104-$K104)</f>
        <v/>
      </c>
      <c r="M104" s="6" t="n"/>
    </row>
    <row r="105">
      <c r="A105" s="7">
        <f>IF($E105="","",ROW()-2)</f>
        <v/>
      </c>
      <c r="B105" s="7" t="n"/>
      <c r="C105" s="7">
        <f>IF($B105="","",IFERROR(VLOOKUP($B105,'בתים ומוצבים'!$A$3:$B$32,2,FALSE),""))</f>
        <v/>
      </c>
      <c r="D105" s="7" t="n"/>
      <c r="E105" s="6" t="n"/>
      <c r="F105" s="7" t="n"/>
      <c r="G105" s="7" t="n"/>
      <c r="H105" s="7" t="n"/>
      <c r="I105" s="7" t="n"/>
      <c r="J105" s="7" t="n"/>
      <c r="K105" s="7" t="n"/>
      <c r="L105" s="7">
        <f>IF(OR($I105="",$K105=""),"",$I105-$K105)</f>
        <v/>
      </c>
      <c r="M105" s="6" t="n"/>
    </row>
    <row r="106">
      <c r="A106" s="7">
        <f>IF($E106="","",ROW()-2)</f>
        <v/>
      </c>
      <c r="B106" s="7" t="n"/>
      <c r="C106" s="7">
        <f>IF($B106="","",IFERROR(VLOOKUP($B106,'בתים ומוצבים'!$A$3:$B$32,2,FALSE),""))</f>
        <v/>
      </c>
      <c r="D106" s="7" t="n"/>
      <c r="E106" s="6" t="n"/>
      <c r="F106" s="7" t="n"/>
      <c r="G106" s="7" t="n"/>
      <c r="H106" s="7" t="n"/>
      <c r="I106" s="7" t="n"/>
      <c r="J106" s="7" t="n"/>
      <c r="K106" s="7" t="n"/>
      <c r="L106" s="7">
        <f>IF(OR($I106="",$K106=""),"",$I106-$K106)</f>
        <v/>
      </c>
      <c r="M106" s="6" t="n"/>
    </row>
    <row r="107">
      <c r="A107" s="7">
        <f>IF($E107="","",ROW()-2)</f>
        <v/>
      </c>
      <c r="B107" s="7" t="n"/>
      <c r="C107" s="7">
        <f>IF($B107="","",IFERROR(VLOOKUP($B107,'בתים ומוצבים'!$A$3:$B$32,2,FALSE),""))</f>
        <v/>
      </c>
      <c r="D107" s="7" t="n"/>
      <c r="E107" s="6" t="n"/>
      <c r="F107" s="7" t="n"/>
      <c r="G107" s="7" t="n"/>
      <c r="H107" s="7" t="n"/>
      <c r="I107" s="7" t="n"/>
      <c r="J107" s="7" t="n"/>
      <c r="K107" s="7" t="n"/>
      <c r="L107" s="7">
        <f>IF(OR($I107="",$K107=""),"",$I107-$K107)</f>
        <v/>
      </c>
      <c r="M107" s="6" t="n"/>
    </row>
    <row r="108">
      <c r="A108" s="7">
        <f>IF($E108="","",ROW()-2)</f>
        <v/>
      </c>
      <c r="B108" s="7" t="n"/>
      <c r="C108" s="7">
        <f>IF($B108="","",IFERROR(VLOOKUP($B108,'בתים ומוצבים'!$A$3:$B$32,2,FALSE),""))</f>
        <v/>
      </c>
      <c r="D108" s="7" t="n"/>
      <c r="E108" s="6" t="n"/>
      <c r="F108" s="7" t="n"/>
      <c r="G108" s="7" t="n"/>
      <c r="H108" s="7" t="n"/>
      <c r="I108" s="7" t="n"/>
      <c r="J108" s="7" t="n"/>
      <c r="K108" s="7" t="n"/>
      <c r="L108" s="7">
        <f>IF(OR($I108="",$K108=""),"",$I108-$K108)</f>
        <v/>
      </c>
      <c r="M108" s="6" t="n"/>
    </row>
    <row r="109">
      <c r="A109" s="7">
        <f>IF($E109="","",ROW()-2)</f>
        <v/>
      </c>
      <c r="B109" s="7" t="n"/>
      <c r="C109" s="7">
        <f>IF($B109="","",IFERROR(VLOOKUP($B109,'בתים ומוצבים'!$A$3:$B$32,2,FALSE),""))</f>
        <v/>
      </c>
      <c r="D109" s="7" t="n"/>
      <c r="E109" s="6" t="n"/>
      <c r="F109" s="7" t="n"/>
      <c r="G109" s="7" t="n"/>
      <c r="H109" s="7" t="n"/>
      <c r="I109" s="7" t="n"/>
      <c r="J109" s="7" t="n"/>
      <c r="K109" s="7" t="n"/>
      <c r="L109" s="7">
        <f>IF(OR($I109="",$K109=""),"",$I109-$K109)</f>
        <v/>
      </c>
      <c r="M109" s="6" t="n"/>
    </row>
    <row r="110">
      <c r="A110" s="7">
        <f>IF($E110="","",ROW()-2)</f>
        <v/>
      </c>
      <c r="B110" s="7" t="n"/>
      <c r="C110" s="7">
        <f>IF($B110="","",IFERROR(VLOOKUP($B110,'בתים ומוצבים'!$A$3:$B$32,2,FALSE),""))</f>
        <v/>
      </c>
      <c r="D110" s="7" t="n"/>
      <c r="E110" s="6" t="n"/>
      <c r="F110" s="7" t="n"/>
      <c r="G110" s="7" t="n"/>
      <c r="H110" s="7" t="n"/>
      <c r="I110" s="7" t="n"/>
      <c r="J110" s="7" t="n"/>
      <c r="K110" s="7" t="n"/>
      <c r="L110" s="7">
        <f>IF(OR($I110="",$K110=""),"",$I110-$K110)</f>
        <v/>
      </c>
      <c r="M110" s="6" t="n"/>
    </row>
    <row r="111">
      <c r="A111" s="7">
        <f>IF($E111="","",ROW()-2)</f>
        <v/>
      </c>
      <c r="B111" s="7" t="n"/>
      <c r="C111" s="7">
        <f>IF($B111="","",IFERROR(VLOOKUP($B111,'בתים ומוצבים'!$A$3:$B$32,2,FALSE),""))</f>
        <v/>
      </c>
      <c r="D111" s="7" t="n"/>
      <c r="E111" s="6" t="n"/>
      <c r="F111" s="7" t="n"/>
      <c r="G111" s="7" t="n"/>
      <c r="H111" s="7" t="n"/>
      <c r="I111" s="7" t="n"/>
      <c r="J111" s="7" t="n"/>
      <c r="K111" s="7" t="n"/>
      <c r="L111" s="7">
        <f>IF(OR($I111="",$K111=""),"",$I111-$K111)</f>
        <v/>
      </c>
      <c r="M111" s="6" t="n"/>
    </row>
    <row r="112">
      <c r="A112" s="7">
        <f>IF($E112="","",ROW()-2)</f>
        <v/>
      </c>
      <c r="B112" s="7" t="n"/>
      <c r="C112" s="7">
        <f>IF($B112="","",IFERROR(VLOOKUP($B112,'בתים ומוצבים'!$A$3:$B$32,2,FALSE),""))</f>
        <v/>
      </c>
      <c r="D112" s="7" t="n"/>
      <c r="E112" s="6" t="n"/>
      <c r="F112" s="7" t="n"/>
      <c r="G112" s="7" t="n"/>
      <c r="H112" s="7" t="n"/>
      <c r="I112" s="7" t="n"/>
      <c r="J112" s="7" t="n"/>
      <c r="K112" s="7" t="n"/>
      <c r="L112" s="7">
        <f>IF(OR($I112="",$K112=""),"",$I112-$K112)</f>
        <v/>
      </c>
      <c r="M112" s="6" t="n"/>
    </row>
    <row r="113">
      <c r="A113" s="7">
        <f>IF($E113="","",ROW()-2)</f>
        <v/>
      </c>
      <c r="B113" s="7" t="n"/>
      <c r="C113" s="7">
        <f>IF($B113="","",IFERROR(VLOOKUP($B113,'בתים ומוצבים'!$A$3:$B$32,2,FALSE),""))</f>
        <v/>
      </c>
      <c r="D113" s="7" t="n"/>
      <c r="E113" s="6" t="n"/>
      <c r="F113" s="7" t="n"/>
      <c r="G113" s="7" t="n"/>
      <c r="H113" s="7" t="n"/>
      <c r="I113" s="7" t="n"/>
      <c r="J113" s="7" t="n"/>
      <c r="K113" s="7" t="n"/>
      <c r="L113" s="7">
        <f>IF(OR($I113="",$K113=""),"",$I113-$K113)</f>
        <v/>
      </c>
      <c r="M113" s="6" t="n"/>
    </row>
    <row r="114">
      <c r="A114" s="7">
        <f>IF($E114="","",ROW()-2)</f>
        <v/>
      </c>
      <c r="B114" s="7" t="n"/>
      <c r="C114" s="7">
        <f>IF($B114="","",IFERROR(VLOOKUP($B114,'בתים ומוצבים'!$A$3:$B$32,2,FALSE),""))</f>
        <v/>
      </c>
      <c r="D114" s="7" t="n"/>
      <c r="E114" s="6" t="n"/>
      <c r="F114" s="7" t="n"/>
      <c r="G114" s="7" t="n"/>
      <c r="H114" s="7" t="n"/>
      <c r="I114" s="7" t="n"/>
      <c r="J114" s="7" t="n"/>
      <c r="K114" s="7" t="n"/>
      <c r="L114" s="7">
        <f>IF(OR($I114="",$K114=""),"",$I114-$K114)</f>
        <v/>
      </c>
      <c r="M114" s="6" t="n"/>
    </row>
    <row r="115">
      <c r="A115" s="7">
        <f>IF($E115="","",ROW()-2)</f>
        <v/>
      </c>
      <c r="B115" s="7" t="n"/>
      <c r="C115" s="7">
        <f>IF($B115="","",IFERROR(VLOOKUP($B115,'בתים ומוצבים'!$A$3:$B$32,2,FALSE),""))</f>
        <v/>
      </c>
      <c r="D115" s="7" t="n"/>
      <c r="E115" s="6" t="n"/>
      <c r="F115" s="7" t="n"/>
      <c r="G115" s="7" t="n"/>
      <c r="H115" s="7" t="n"/>
      <c r="I115" s="7" t="n"/>
      <c r="J115" s="7" t="n"/>
      <c r="K115" s="7" t="n"/>
      <c r="L115" s="7">
        <f>IF(OR($I115="",$K115=""),"",$I115-$K115)</f>
        <v/>
      </c>
      <c r="M115" s="6" t="n"/>
    </row>
    <row r="116">
      <c r="A116" s="7">
        <f>IF($E116="","",ROW()-2)</f>
        <v/>
      </c>
      <c r="B116" s="7" t="n"/>
      <c r="C116" s="7">
        <f>IF($B116="","",IFERROR(VLOOKUP($B116,'בתים ומוצבים'!$A$3:$B$32,2,FALSE),""))</f>
        <v/>
      </c>
      <c r="D116" s="7" t="n"/>
      <c r="E116" s="6" t="n"/>
      <c r="F116" s="7" t="n"/>
      <c r="G116" s="7" t="n"/>
      <c r="H116" s="7" t="n"/>
      <c r="I116" s="7" t="n"/>
      <c r="J116" s="7" t="n"/>
      <c r="K116" s="7" t="n"/>
      <c r="L116" s="7">
        <f>IF(OR($I116="",$K116=""),"",$I116-$K116)</f>
        <v/>
      </c>
      <c r="M116" s="6" t="n"/>
    </row>
    <row r="117">
      <c r="A117" s="7">
        <f>IF($E117="","",ROW()-2)</f>
        <v/>
      </c>
      <c r="B117" s="7" t="n"/>
      <c r="C117" s="7">
        <f>IF($B117="","",IFERROR(VLOOKUP($B117,'בתים ומוצבים'!$A$3:$B$32,2,FALSE),""))</f>
        <v/>
      </c>
      <c r="D117" s="7" t="n"/>
      <c r="E117" s="6" t="n"/>
      <c r="F117" s="7" t="n"/>
      <c r="G117" s="7" t="n"/>
      <c r="H117" s="7" t="n"/>
      <c r="I117" s="7" t="n"/>
      <c r="J117" s="7" t="n"/>
      <c r="K117" s="7" t="n"/>
      <c r="L117" s="7">
        <f>IF(OR($I117="",$K117=""),"",$I117-$K117)</f>
        <v/>
      </c>
      <c r="M117" s="6" t="n"/>
    </row>
    <row r="118">
      <c r="A118" s="7">
        <f>IF($E118="","",ROW()-2)</f>
        <v/>
      </c>
      <c r="B118" s="7" t="n"/>
      <c r="C118" s="7">
        <f>IF($B118="","",IFERROR(VLOOKUP($B118,'בתים ומוצבים'!$A$3:$B$32,2,FALSE),""))</f>
        <v/>
      </c>
      <c r="D118" s="7" t="n"/>
      <c r="E118" s="6" t="n"/>
      <c r="F118" s="7" t="n"/>
      <c r="G118" s="7" t="n"/>
      <c r="H118" s="7" t="n"/>
      <c r="I118" s="7" t="n"/>
      <c r="J118" s="7" t="n"/>
      <c r="K118" s="7" t="n"/>
      <c r="L118" s="7">
        <f>IF(OR($I118="",$K118=""),"",$I118-$K118)</f>
        <v/>
      </c>
      <c r="M118" s="6" t="n"/>
    </row>
    <row r="119">
      <c r="A119" s="7">
        <f>IF($E119="","",ROW()-2)</f>
        <v/>
      </c>
      <c r="B119" s="7" t="n"/>
      <c r="C119" s="7">
        <f>IF($B119="","",IFERROR(VLOOKUP($B119,'בתים ומוצבים'!$A$3:$B$32,2,FALSE),""))</f>
        <v/>
      </c>
      <c r="D119" s="7" t="n"/>
      <c r="E119" s="6" t="n"/>
      <c r="F119" s="7" t="n"/>
      <c r="G119" s="7" t="n"/>
      <c r="H119" s="7" t="n"/>
      <c r="I119" s="7" t="n"/>
      <c r="J119" s="7" t="n"/>
      <c r="K119" s="7" t="n"/>
      <c r="L119" s="7">
        <f>IF(OR($I119="",$K119=""),"",$I119-$K119)</f>
        <v/>
      </c>
      <c r="M119" s="6" t="n"/>
    </row>
    <row r="120">
      <c r="A120" s="7">
        <f>IF($E120="","",ROW()-2)</f>
        <v/>
      </c>
      <c r="B120" s="7" t="n"/>
      <c r="C120" s="7">
        <f>IF($B120="","",IFERROR(VLOOKUP($B120,'בתים ומוצבים'!$A$3:$B$32,2,FALSE),""))</f>
        <v/>
      </c>
      <c r="D120" s="7" t="n"/>
      <c r="E120" s="6" t="n"/>
      <c r="F120" s="7" t="n"/>
      <c r="G120" s="7" t="n"/>
      <c r="H120" s="7" t="n"/>
      <c r="I120" s="7" t="n"/>
      <c r="J120" s="7" t="n"/>
      <c r="K120" s="7" t="n"/>
      <c r="L120" s="7">
        <f>IF(OR($I120="",$K120=""),"",$I120-$K120)</f>
        <v/>
      </c>
      <c r="M120" s="6" t="n"/>
    </row>
    <row r="121">
      <c r="A121" s="7">
        <f>IF($E121="","",ROW()-2)</f>
        <v/>
      </c>
      <c r="B121" s="7" t="n"/>
      <c r="C121" s="7">
        <f>IF($B121="","",IFERROR(VLOOKUP($B121,'בתים ומוצבים'!$A$3:$B$32,2,FALSE),""))</f>
        <v/>
      </c>
      <c r="D121" s="7" t="n"/>
      <c r="E121" s="6" t="n"/>
      <c r="F121" s="7" t="n"/>
      <c r="G121" s="7" t="n"/>
      <c r="H121" s="7" t="n"/>
      <c r="I121" s="7" t="n"/>
      <c r="J121" s="7" t="n"/>
      <c r="K121" s="7" t="n"/>
      <c r="L121" s="7">
        <f>IF(OR($I121="",$K121=""),"",$I121-$K121)</f>
        <v/>
      </c>
      <c r="M121" s="6" t="n"/>
    </row>
    <row r="122">
      <c r="A122" s="7">
        <f>IF($E122="","",ROW()-2)</f>
        <v/>
      </c>
      <c r="B122" s="7" t="n"/>
      <c r="C122" s="7">
        <f>IF($B122="","",IFERROR(VLOOKUP($B122,'בתים ומוצבים'!$A$3:$B$32,2,FALSE),""))</f>
        <v/>
      </c>
      <c r="D122" s="7" t="n"/>
      <c r="E122" s="6" t="n"/>
      <c r="F122" s="7" t="n"/>
      <c r="G122" s="7" t="n"/>
      <c r="H122" s="7" t="n"/>
      <c r="I122" s="7" t="n"/>
      <c r="J122" s="7" t="n"/>
      <c r="K122" s="7" t="n"/>
      <c r="L122" s="7">
        <f>IF(OR($I122="",$K122=""),"",$I122-$K122)</f>
        <v/>
      </c>
      <c r="M122" s="6" t="n"/>
    </row>
    <row r="123">
      <c r="A123" s="7">
        <f>IF($E123="","",ROW()-2)</f>
        <v/>
      </c>
      <c r="B123" s="7" t="n"/>
      <c r="C123" s="7">
        <f>IF($B123="","",IFERROR(VLOOKUP($B123,'בתים ומוצבים'!$A$3:$B$32,2,FALSE),""))</f>
        <v/>
      </c>
      <c r="D123" s="7" t="n"/>
      <c r="E123" s="6" t="n"/>
      <c r="F123" s="7" t="n"/>
      <c r="G123" s="7" t="n"/>
      <c r="H123" s="7" t="n"/>
      <c r="I123" s="7" t="n"/>
      <c r="J123" s="7" t="n"/>
      <c r="K123" s="7" t="n"/>
      <c r="L123" s="7">
        <f>IF(OR($I123="",$K123=""),"",$I123-$K123)</f>
        <v/>
      </c>
      <c r="M123" s="6" t="n"/>
    </row>
    <row r="124">
      <c r="A124" s="7">
        <f>IF($E124="","",ROW()-2)</f>
        <v/>
      </c>
      <c r="B124" s="7" t="n"/>
      <c r="C124" s="7">
        <f>IF($B124="","",IFERROR(VLOOKUP($B124,'בתים ומוצבים'!$A$3:$B$32,2,FALSE),""))</f>
        <v/>
      </c>
      <c r="D124" s="7" t="n"/>
      <c r="E124" s="6" t="n"/>
      <c r="F124" s="7" t="n"/>
      <c r="G124" s="7" t="n"/>
      <c r="H124" s="7" t="n"/>
      <c r="I124" s="7" t="n"/>
      <c r="J124" s="7" t="n"/>
      <c r="K124" s="7" t="n"/>
      <c r="L124" s="7">
        <f>IF(OR($I124="",$K124=""),"",$I124-$K124)</f>
        <v/>
      </c>
      <c r="M124" s="6" t="n"/>
    </row>
    <row r="125">
      <c r="A125" s="7">
        <f>IF($E125="","",ROW()-2)</f>
        <v/>
      </c>
      <c r="B125" s="7" t="n"/>
      <c r="C125" s="7">
        <f>IF($B125="","",IFERROR(VLOOKUP($B125,'בתים ומוצבים'!$A$3:$B$32,2,FALSE),""))</f>
        <v/>
      </c>
      <c r="D125" s="7" t="n"/>
      <c r="E125" s="6" t="n"/>
      <c r="F125" s="7" t="n"/>
      <c r="G125" s="7" t="n"/>
      <c r="H125" s="7" t="n"/>
      <c r="I125" s="7" t="n"/>
      <c r="J125" s="7" t="n"/>
      <c r="K125" s="7" t="n"/>
      <c r="L125" s="7">
        <f>IF(OR($I125="",$K125=""),"",$I125-$K125)</f>
        <v/>
      </c>
      <c r="M125" s="6" t="n"/>
    </row>
    <row r="126">
      <c r="A126" s="7">
        <f>IF($E126="","",ROW()-2)</f>
        <v/>
      </c>
      <c r="B126" s="7" t="n"/>
      <c r="C126" s="7">
        <f>IF($B126="","",IFERROR(VLOOKUP($B126,'בתים ומוצבים'!$A$3:$B$32,2,FALSE),""))</f>
        <v/>
      </c>
      <c r="D126" s="7" t="n"/>
      <c r="E126" s="6" t="n"/>
      <c r="F126" s="7" t="n"/>
      <c r="G126" s="7" t="n"/>
      <c r="H126" s="7" t="n"/>
      <c r="I126" s="7" t="n"/>
      <c r="J126" s="7" t="n"/>
      <c r="K126" s="7" t="n"/>
      <c r="L126" s="7">
        <f>IF(OR($I126="",$K126=""),"",$I126-$K126)</f>
        <v/>
      </c>
      <c r="M126" s="6" t="n"/>
    </row>
    <row r="127">
      <c r="A127" s="7">
        <f>IF($E127="","",ROW()-2)</f>
        <v/>
      </c>
      <c r="B127" s="7" t="n"/>
      <c r="C127" s="7">
        <f>IF($B127="","",IFERROR(VLOOKUP($B127,'בתים ומוצבים'!$A$3:$B$32,2,FALSE),""))</f>
        <v/>
      </c>
      <c r="D127" s="7" t="n"/>
      <c r="E127" s="6" t="n"/>
      <c r="F127" s="7" t="n"/>
      <c r="G127" s="7" t="n"/>
      <c r="H127" s="7" t="n"/>
      <c r="I127" s="7" t="n"/>
      <c r="J127" s="7" t="n"/>
      <c r="K127" s="7" t="n"/>
      <c r="L127" s="7">
        <f>IF(OR($I127="",$K127=""),"",$I127-$K127)</f>
        <v/>
      </c>
      <c r="M127" s="6" t="n"/>
    </row>
    <row r="128">
      <c r="A128" s="7">
        <f>IF($E128="","",ROW()-2)</f>
        <v/>
      </c>
      <c r="B128" s="7" t="n"/>
      <c r="C128" s="7">
        <f>IF($B128="","",IFERROR(VLOOKUP($B128,'בתים ומוצבים'!$A$3:$B$32,2,FALSE),""))</f>
        <v/>
      </c>
      <c r="D128" s="7" t="n"/>
      <c r="E128" s="6" t="n"/>
      <c r="F128" s="7" t="n"/>
      <c r="G128" s="7" t="n"/>
      <c r="H128" s="7" t="n"/>
      <c r="I128" s="7" t="n"/>
      <c r="J128" s="7" t="n"/>
      <c r="K128" s="7" t="n"/>
      <c r="L128" s="7">
        <f>IF(OR($I128="",$K128=""),"",$I128-$K128)</f>
        <v/>
      </c>
      <c r="M128" s="6" t="n"/>
    </row>
    <row r="129">
      <c r="A129" s="7">
        <f>IF($E129="","",ROW()-2)</f>
        <v/>
      </c>
      <c r="B129" s="7" t="n"/>
      <c r="C129" s="7">
        <f>IF($B129="","",IFERROR(VLOOKUP($B129,'בתים ומוצבים'!$A$3:$B$32,2,FALSE),""))</f>
        <v/>
      </c>
      <c r="D129" s="7" t="n"/>
      <c r="E129" s="6" t="n"/>
      <c r="F129" s="7" t="n"/>
      <c r="G129" s="7" t="n"/>
      <c r="H129" s="7" t="n"/>
      <c r="I129" s="7" t="n"/>
      <c r="J129" s="7" t="n"/>
      <c r="K129" s="7" t="n"/>
      <c r="L129" s="7">
        <f>IF(OR($I129="",$K129=""),"",$I129-$K129)</f>
        <v/>
      </c>
      <c r="M129" s="6" t="n"/>
    </row>
    <row r="130">
      <c r="A130" s="7">
        <f>IF($E130="","",ROW()-2)</f>
        <v/>
      </c>
      <c r="B130" s="7" t="n"/>
      <c r="C130" s="7">
        <f>IF($B130="","",IFERROR(VLOOKUP($B130,'בתים ומוצבים'!$A$3:$B$32,2,FALSE),""))</f>
        <v/>
      </c>
      <c r="D130" s="7" t="n"/>
      <c r="E130" s="6" t="n"/>
      <c r="F130" s="7" t="n"/>
      <c r="G130" s="7" t="n"/>
      <c r="H130" s="7" t="n"/>
      <c r="I130" s="7" t="n"/>
      <c r="J130" s="7" t="n"/>
      <c r="K130" s="7" t="n"/>
      <c r="L130" s="7">
        <f>IF(OR($I130="",$K130=""),"",$I130-$K130)</f>
        <v/>
      </c>
      <c r="M130" s="6" t="n"/>
    </row>
    <row r="131">
      <c r="A131" s="7">
        <f>IF($E131="","",ROW()-2)</f>
        <v/>
      </c>
      <c r="B131" s="7" t="n"/>
      <c r="C131" s="7">
        <f>IF($B131="","",IFERROR(VLOOKUP($B131,'בתים ומוצבים'!$A$3:$B$32,2,FALSE),""))</f>
        <v/>
      </c>
      <c r="D131" s="7" t="n"/>
      <c r="E131" s="6" t="n"/>
      <c r="F131" s="7" t="n"/>
      <c r="G131" s="7" t="n"/>
      <c r="H131" s="7" t="n"/>
      <c r="I131" s="7" t="n"/>
      <c r="J131" s="7" t="n"/>
      <c r="K131" s="7" t="n"/>
      <c r="L131" s="7">
        <f>IF(OR($I131="",$K131=""),"",$I131-$K131)</f>
        <v/>
      </c>
      <c r="M131" s="6" t="n"/>
    </row>
    <row r="132">
      <c r="A132" s="7">
        <f>IF($E132="","",ROW()-2)</f>
        <v/>
      </c>
      <c r="B132" s="7" t="n"/>
      <c r="C132" s="7">
        <f>IF($B132="","",IFERROR(VLOOKUP($B132,'בתים ומוצבים'!$A$3:$B$32,2,FALSE),""))</f>
        <v/>
      </c>
      <c r="D132" s="7" t="n"/>
      <c r="E132" s="6" t="n"/>
      <c r="F132" s="7" t="n"/>
      <c r="G132" s="7" t="n"/>
      <c r="H132" s="7" t="n"/>
      <c r="I132" s="7" t="n"/>
      <c r="J132" s="7" t="n"/>
      <c r="K132" s="7" t="n"/>
      <c r="L132" s="7">
        <f>IF(OR($I132="",$K132=""),"",$I132-$K132)</f>
        <v/>
      </c>
      <c r="M132" s="6" t="n"/>
    </row>
    <row r="133">
      <c r="A133" s="7">
        <f>IF($E133="","",ROW()-2)</f>
        <v/>
      </c>
      <c r="B133" s="7" t="n"/>
      <c r="C133" s="7">
        <f>IF($B133="","",IFERROR(VLOOKUP($B133,'בתים ומוצבים'!$A$3:$B$32,2,FALSE),""))</f>
        <v/>
      </c>
      <c r="D133" s="7" t="n"/>
      <c r="E133" s="6" t="n"/>
      <c r="F133" s="7" t="n"/>
      <c r="G133" s="7" t="n"/>
      <c r="H133" s="7" t="n"/>
      <c r="I133" s="7" t="n"/>
      <c r="J133" s="7" t="n"/>
      <c r="K133" s="7" t="n"/>
      <c r="L133" s="7">
        <f>IF(OR($I133="",$K133=""),"",$I133-$K133)</f>
        <v/>
      </c>
      <c r="M133" s="6" t="n"/>
    </row>
    <row r="134">
      <c r="A134" s="7">
        <f>IF($E134="","",ROW()-2)</f>
        <v/>
      </c>
      <c r="B134" s="7" t="n"/>
      <c r="C134" s="7">
        <f>IF($B134="","",IFERROR(VLOOKUP($B134,'בתים ומוצבים'!$A$3:$B$32,2,FALSE),""))</f>
        <v/>
      </c>
      <c r="D134" s="7" t="n"/>
      <c r="E134" s="6" t="n"/>
      <c r="F134" s="7" t="n"/>
      <c r="G134" s="7" t="n"/>
      <c r="H134" s="7" t="n"/>
      <c r="I134" s="7" t="n"/>
      <c r="J134" s="7" t="n"/>
      <c r="K134" s="7" t="n"/>
      <c r="L134" s="7">
        <f>IF(OR($I134="",$K134=""),"",$I134-$K134)</f>
        <v/>
      </c>
      <c r="M134" s="6" t="n"/>
    </row>
    <row r="135">
      <c r="A135" s="7">
        <f>IF($E135="","",ROW()-2)</f>
        <v/>
      </c>
      <c r="B135" s="7" t="n"/>
      <c r="C135" s="7">
        <f>IF($B135="","",IFERROR(VLOOKUP($B135,'בתים ומוצבים'!$A$3:$B$32,2,FALSE),""))</f>
        <v/>
      </c>
      <c r="D135" s="7" t="n"/>
      <c r="E135" s="6" t="n"/>
      <c r="F135" s="7" t="n"/>
      <c r="G135" s="7" t="n"/>
      <c r="H135" s="7" t="n"/>
      <c r="I135" s="7" t="n"/>
      <c r="J135" s="7" t="n"/>
      <c r="K135" s="7" t="n"/>
      <c r="L135" s="7">
        <f>IF(OR($I135="",$K135=""),"",$I135-$K135)</f>
        <v/>
      </c>
      <c r="M135" s="6" t="n"/>
    </row>
    <row r="136">
      <c r="A136" s="7">
        <f>IF($E136="","",ROW()-2)</f>
        <v/>
      </c>
      <c r="B136" s="7" t="n"/>
      <c r="C136" s="7">
        <f>IF($B136="","",IFERROR(VLOOKUP($B136,'בתים ומוצבים'!$A$3:$B$32,2,FALSE),""))</f>
        <v/>
      </c>
      <c r="D136" s="7" t="n"/>
      <c r="E136" s="6" t="n"/>
      <c r="F136" s="7" t="n"/>
      <c r="G136" s="7" t="n"/>
      <c r="H136" s="7" t="n"/>
      <c r="I136" s="7" t="n"/>
      <c r="J136" s="7" t="n"/>
      <c r="K136" s="7" t="n"/>
      <c r="L136" s="7">
        <f>IF(OR($I136="",$K136=""),"",$I136-$K136)</f>
        <v/>
      </c>
      <c r="M136" s="6" t="n"/>
    </row>
    <row r="137">
      <c r="A137" s="7">
        <f>IF($E137="","",ROW()-2)</f>
        <v/>
      </c>
      <c r="B137" s="7" t="n"/>
      <c r="C137" s="7">
        <f>IF($B137="","",IFERROR(VLOOKUP($B137,'בתים ומוצבים'!$A$3:$B$32,2,FALSE),""))</f>
        <v/>
      </c>
      <c r="D137" s="7" t="n"/>
      <c r="E137" s="6" t="n"/>
      <c r="F137" s="7" t="n"/>
      <c r="G137" s="7" t="n"/>
      <c r="H137" s="7" t="n"/>
      <c r="I137" s="7" t="n"/>
      <c r="J137" s="7" t="n"/>
      <c r="K137" s="7" t="n"/>
      <c r="L137" s="7">
        <f>IF(OR($I137="",$K137=""),"",$I137-$K137)</f>
        <v/>
      </c>
      <c r="M137" s="6" t="n"/>
    </row>
    <row r="138">
      <c r="A138" s="7">
        <f>IF($E138="","",ROW()-2)</f>
        <v/>
      </c>
      <c r="B138" s="7" t="n"/>
      <c r="C138" s="7">
        <f>IF($B138="","",IFERROR(VLOOKUP($B138,'בתים ומוצבים'!$A$3:$B$32,2,FALSE),""))</f>
        <v/>
      </c>
      <c r="D138" s="7" t="n"/>
      <c r="E138" s="6" t="n"/>
      <c r="F138" s="7" t="n"/>
      <c r="G138" s="7" t="n"/>
      <c r="H138" s="7" t="n"/>
      <c r="I138" s="7" t="n"/>
      <c r="J138" s="7" t="n"/>
      <c r="K138" s="7" t="n"/>
      <c r="L138" s="7">
        <f>IF(OR($I138="",$K138=""),"",$I138-$K138)</f>
        <v/>
      </c>
      <c r="M138" s="6" t="n"/>
    </row>
    <row r="139">
      <c r="A139" s="7">
        <f>IF($E139="","",ROW()-2)</f>
        <v/>
      </c>
      <c r="B139" s="7" t="n"/>
      <c r="C139" s="7">
        <f>IF($B139="","",IFERROR(VLOOKUP($B139,'בתים ומוצבים'!$A$3:$B$32,2,FALSE),""))</f>
        <v/>
      </c>
      <c r="D139" s="7" t="n"/>
      <c r="E139" s="6" t="n"/>
      <c r="F139" s="7" t="n"/>
      <c r="G139" s="7" t="n"/>
      <c r="H139" s="7" t="n"/>
      <c r="I139" s="7" t="n"/>
      <c r="J139" s="7" t="n"/>
      <c r="K139" s="7" t="n"/>
      <c r="L139" s="7">
        <f>IF(OR($I139="",$K139=""),"",$I139-$K139)</f>
        <v/>
      </c>
      <c r="M139" s="6" t="n"/>
    </row>
    <row r="140">
      <c r="A140" s="7">
        <f>IF($E140="","",ROW()-2)</f>
        <v/>
      </c>
      <c r="B140" s="7" t="n"/>
      <c r="C140" s="7">
        <f>IF($B140="","",IFERROR(VLOOKUP($B140,'בתים ומוצבים'!$A$3:$B$32,2,FALSE),""))</f>
        <v/>
      </c>
      <c r="D140" s="7" t="n"/>
      <c r="E140" s="6" t="n"/>
      <c r="F140" s="7" t="n"/>
      <c r="G140" s="7" t="n"/>
      <c r="H140" s="7" t="n"/>
      <c r="I140" s="7" t="n"/>
      <c r="J140" s="7" t="n"/>
      <c r="K140" s="7" t="n"/>
      <c r="L140" s="7">
        <f>IF(OR($I140="",$K140=""),"",$I140-$K140)</f>
        <v/>
      </c>
      <c r="M140" s="6" t="n"/>
    </row>
    <row r="141">
      <c r="A141" s="7">
        <f>IF($E141="","",ROW()-2)</f>
        <v/>
      </c>
      <c r="B141" s="7" t="n"/>
      <c r="C141" s="7">
        <f>IF($B141="","",IFERROR(VLOOKUP($B141,'בתים ומוצבים'!$A$3:$B$32,2,FALSE),""))</f>
        <v/>
      </c>
      <c r="D141" s="7" t="n"/>
      <c r="E141" s="6" t="n"/>
      <c r="F141" s="7" t="n"/>
      <c r="G141" s="7" t="n"/>
      <c r="H141" s="7" t="n"/>
      <c r="I141" s="7" t="n"/>
      <c r="J141" s="7" t="n"/>
      <c r="K141" s="7" t="n"/>
      <c r="L141" s="7">
        <f>IF(OR($I141="",$K141=""),"",$I141-$K141)</f>
        <v/>
      </c>
      <c r="M141" s="6" t="n"/>
    </row>
    <row r="142">
      <c r="A142" s="7">
        <f>IF($E142="","",ROW()-2)</f>
        <v/>
      </c>
      <c r="B142" s="7" t="n"/>
      <c r="C142" s="7">
        <f>IF($B142="","",IFERROR(VLOOKUP($B142,'בתים ומוצבים'!$A$3:$B$32,2,FALSE),""))</f>
        <v/>
      </c>
      <c r="D142" s="7" t="n"/>
      <c r="E142" s="6" t="n"/>
      <c r="F142" s="7" t="n"/>
      <c r="G142" s="7" t="n"/>
      <c r="H142" s="7" t="n"/>
      <c r="I142" s="7" t="n"/>
      <c r="J142" s="7" t="n"/>
      <c r="K142" s="7" t="n"/>
      <c r="L142" s="7">
        <f>IF(OR($I142="",$K142=""),"",$I142-$K142)</f>
        <v/>
      </c>
      <c r="M142" s="6" t="n"/>
    </row>
    <row r="143">
      <c r="A143" s="7">
        <f>IF($E143="","",ROW()-2)</f>
        <v/>
      </c>
      <c r="B143" s="7" t="n"/>
      <c r="C143" s="7">
        <f>IF($B143="","",IFERROR(VLOOKUP($B143,'בתים ומוצבים'!$A$3:$B$32,2,FALSE),""))</f>
        <v/>
      </c>
      <c r="D143" s="7" t="n"/>
      <c r="E143" s="6" t="n"/>
      <c r="F143" s="7" t="n"/>
      <c r="G143" s="7" t="n"/>
      <c r="H143" s="7" t="n"/>
      <c r="I143" s="7" t="n"/>
      <c r="J143" s="7" t="n"/>
      <c r="K143" s="7" t="n"/>
      <c r="L143" s="7">
        <f>IF(OR($I143="",$K143=""),"",$I143-$K143)</f>
        <v/>
      </c>
      <c r="M143" s="6" t="n"/>
    </row>
    <row r="144">
      <c r="A144" s="7">
        <f>IF($E144="","",ROW()-2)</f>
        <v/>
      </c>
      <c r="B144" s="7" t="n"/>
      <c r="C144" s="7">
        <f>IF($B144="","",IFERROR(VLOOKUP($B144,'בתים ומוצבים'!$A$3:$B$32,2,FALSE),""))</f>
        <v/>
      </c>
      <c r="D144" s="7" t="n"/>
      <c r="E144" s="6" t="n"/>
      <c r="F144" s="7" t="n"/>
      <c r="G144" s="7" t="n"/>
      <c r="H144" s="7" t="n"/>
      <c r="I144" s="7" t="n"/>
      <c r="J144" s="7" t="n"/>
      <c r="K144" s="7" t="n"/>
      <c r="L144" s="7">
        <f>IF(OR($I144="",$K144=""),"",$I144-$K144)</f>
        <v/>
      </c>
      <c r="M144" s="6" t="n"/>
    </row>
    <row r="145">
      <c r="A145" s="7">
        <f>IF($E145="","",ROW()-2)</f>
        <v/>
      </c>
      <c r="B145" s="7" t="n"/>
      <c r="C145" s="7">
        <f>IF($B145="","",IFERROR(VLOOKUP($B145,'בתים ומוצבים'!$A$3:$B$32,2,FALSE),""))</f>
        <v/>
      </c>
      <c r="D145" s="7" t="n"/>
      <c r="E145" s="6" t="n"/>
      <c r="F145" s="7" t="n"/>
      <c r="G145" s="7" t="n"/>
      <c r="H145" s="7" t="n"/>
      <c r="I145" s="7" t="n"/>
      <c r="J145" s="7" t="n"/>
      <c r="K145" s="7" t="n"/>
      <c r="L145" s="7">
        <f>IF(OR($I145="",$K145=""),"",$I145-$K145)</f>
        <v/>
      </c>
      <c r="M145" s="6" t="n"/>
    </row>
    <row r="146">
      <c r="A146" s="7">
        <f>IF($E146="","",ROW()-2)</f>
        <v/>
      </c>
      <c r="B146" s="7" t="n"/>
      <c r="C146" s="7">
        <f>IF($B146="","",IFERROR(VLOOKUP($B146,'בתים ומוצבים'!$A$3:$B$32,2,FALSE),""))</f>
        <v/>
      </c>
      <c r="D146" s="7" t="n"/>
      <c r="E146" s="6" t="n"/>
      <c r="F146" s="7" t="n"/>
      <c r="G146" s="7" t="n"/>
      <c r="H146" s="7" t="n"/>
      <c r="I146" s="7" t="n"/>
      <c r="J146" s="7" t="n"/>
      <c r="K146" s="7" t="n"/>
      <c r="L146" s="7">
        <f>IF(OR($I146="",$K146=""),"",$I146-$K146)</f>
        <v/>
      </c>
      <c r="M146" s="6" t="n"/>
    </row>
    <row r="147">
      <c r="A147" s="7">
        <f>IF($E147="","",ROW()-2)</f>
        <v/>
      </c>
      <c r="B147" s="7" t="n"/>
      <c r="C147" s="7">
        <f>IF($B147="","",IFERROR(VLOOKUP($B147,'בתים ומוצבים'!$A$3:$B$32,2,FALSE),""))</f>
        <v/>
      </c>
      <c r="D147" s="7" t="n"/>
      <c r="E147" s="6" t="n"/>
      <c r="F147" s="7" t="n"/>
      <c r="G147" s="7" t="n"/>
      <c r="H147" s="7" t="n"/>
      <c r="I147" s="7" t="n"/>
      <c r="J147" s="7" t="n"/>
      <c r="K147" s="7" t="n"/>
      <c r="L147" s="7">
        <f>IF(OR($I147="",$K147=""),"",$I147-$K147)</f>
        <v/>
      </c>
      <c r="M147" s="6" t="n"/>
    </row>
    <row r="148">
      <c r="A148" s="7">
        <f>IF($E148="","",ROW()-2)</f>
        <v/>
      </c>
      <c r="B148" s="7" t="n"/>
      <c r="C148" s="7">
        <f>IF($B148="","",IFERROR(VLOOKUP($B148,'בתים ומוצבים'!$A$3:$B$32,2,FALSE),""))</f>
        <v/>
      </c>
      <c r="D148" s="7" t="n"/>
      <c r="E148" s="6" t="n"/>
      <c r="F148" s="7" t="n"/>
      <c r="G148" s="7" t="n"/>
      <c r="H148" s="7" t="n"/>
      <c r="I148" s="7" t="n"/>
      <c r="J148" s="7" t="n"/>
      <c r="K148" s="7" t="n"/>
      <c r="L148" s="7">
        <f>IF(OR($I148="",$K148=""),"",$I148-$K148)</f>
        <v/>
      </c>
      <c r="M148" s="6" t="n"/>
    </row>
    <row r="149">
      <c r="A149" s="7">
        <f>IF($E149="","",ROW()-2)</f>
        <v/>
      </c>
      <c r="B149" s="7" t="n"/>
      <c r="C149" s="7">
        <f>IF($B149="","",IFERROR(VLOOKUP($B149,'בתים ומוצבים'!$A$3:$B$32,2,FALSE),""))</f>
        <v/>
      </c>
      <c r="D149" s="7" t="n"/>
      <c r="E149" s="6" t="n"/>
      <c r="F149" s="7" t="n"/>
      <c r="G149" s="7" t="n"/>
      <c r="H149" s="7" t="n"/>
      <c r="I149" s="7" t="n"/>
      <c r="J149" s="7" t="n"/>
      <c r="K149" s="7" t="n"/>
      <c r="L149" s="7">
        <f>IF(OR($I149="",$K149=""),"",$I149-$K149)</f>
        <v/>
      </c>
      <c r="M149" s="6" t="n"/>
    </row>
    <row r="150">
      <c r="A150" s="7">
        <f>IF($E150="","",ROW()-2)</f>
        <v/>
      </c>
      <c r="B150" s="7" t="n"/>
      <c r="C150" s="7">
        <f>IF($B150="","",IFERROR(VLOOKUP($B150,'בתים ומוצבים'!$A$3:$B$32,2,FALSE),""))</f>
        <v/>
      </c>
      <c r="D150" s="7" t="n"/>
      <c r="E150" s="6" t="n"/>
      <c r="F150" s="7" t="n"/>
      <c r="G150" s="7" t="n"/>
      <c r="H150" s="7" t="n"/>
      <c r="I150" s="7" t="n"/>
      <c r="J150" s="7" t="n"/>
      <c r="K150" s="7" t="n"/>
      <c r="L150" s="7">
        <f>IF(OR($I150="",$K150=""),"",$I150-$K150)</f>
        <v/>
      </c>
      <c r="M150" s="6" t="n"/>
    </row>
    <row r="151">
      <c r="A151" s="7">
        <f>IF($E151="","",ROW()-2)</f>
        <v/>
      </c>
      <c r="B151" s="7" t="n"/>
      <c r="C151" s="7">
        <f>IF($B151="","",IFERROR(VLOOKUP($B151,'בתים ומוצבים'!$A$3:$B$32,2,FALSE),""))</f>
        <v/>
      </c>
      <c r="D151" s="7" t="n"/>
      <c r="E151" s="6" t="n"/>
      <c r="F151" s="7" t="n"/>
      <c r="G151" s="7" t="n"/>
      <c r="H151" s="7" t="n"/>
      <c r="I151" s="7" t="n"/>
      <c r="J151" s="7" t="n"/>
      <c r="K151" s="7" t="n"/>
      <c r="L151" s="7">
        <f>IF(OR($I151="",$K151=""),"",$I151-$K151)</f>
        <v/>
      </c>
      <c r="M151" s="6" t="n"/>
    </row>
    <row r="152">
      <c r="A152" s="7">
        <f>IF($E152="","",ROW()-2)</f>
        <v/>
      </c>
      <c r="B152" s="7" t="n"/>
      <c r="C152" s="7">
        <f>IF($B152="","",IFERROR(VLOOKUP($B152,'בתים ומוצבים'!$A$3:$B$32,2,FALSE),""))</f>
        <v/>
      </c>
      <c r="D152" s="7" t="n"/>
      <c r="E152" s="6" t="n"/>
      <c r="F152" s="7" t="n"/>
      <c r="G152" s="7" t="n"/>
      <c r="H152" s="7" t="n"/>
      <c r="I152" s="7" t="n"/>
      <c r="J152" s="7" t="n"/>
      <c r="K152" s="7" t="n"/>
      <c r="L152" s="7">
        <f>IF(OR($I152="",$K152=""),"",$I152-$K152)</f>
        <v/>
      </c>
      <c r="M152" s="6" t="n"/>
    </row>
    <row r="153">
      <c r="A153" s="7">
        <f>IF($E153="","",ROW()-2)</f>
        <v/>
      </c>
      <c r="B153" s="7" t="n"/>
      <c r="C153" s="7">
        <f>IF($B153="","",IFERROR(VLOOKUP($B153,'בתים ומוצבים'!$A$3:$B$32,2,FALSE),""))</f>
        <v/>
      </c>
      <c r="D153" s="7" t="n"/>
      <c r="E153" s="6" t="n"/>
      <c r="F153" s="7" t="n"/>
      <c r="G153" s="7" t="n"/>
      <c r="H153" s="7" t="n"/>
      <c r="I153" s="7" t="n"/>
      <c r="J153" s="7" t="n"/>
      <c r="K153" s="7" t="n"/>
      <c r="L153" s="7">
        <f>IF(OR($I153="",$K153=""),"",$I153-$K153)</f>
        <v/>
      </c>
      <c r="M153" s="6" t="n"/>
    </row>
    <row r="154">
      <c r="A154" s="7">
        <f>IF($E154="","",ROW()-2)</f>
        <v/>
      </c>
      <c r="B154" s="7" t="n"/>
      <c r="C154" s="7">
        <f>IF($B154="","",IFERROR(VLOOKUP($B154,'בתים ומוצבים'!$A$3:$B$32,2,FALSE),""))</f>
        <v/>
      </c>
      <c r="D154" s="7" t="n"/>
      <c r="E154" s="6" t="n"/>
      <c r="F154" s="7" t="n"/>
      <c r="G154" s="7" t="n"/>
      <c r="H154" s="7" t="n"/>
      <c r="I154" s="7" t="n"/>
      <c r="J154" s="7" t="n"/>
      <c r="K154" s="7" t="n"/>
      <c r="L154" s="7">
        <f>IF(OR($I154="",$K154=""),"",$I154-$K154)</f>
        <v/>
      </c>
      <c r="M154" s="6" t="n"/>
    </row>
    <row r="155">
      <c r="A155" s="7">
        <f>IF($E155="","",ROW()-2)</f>
        <v/>
      </c>
      <c r="B155" s="7" t="n"/>
      <c r="C155" s="7">
        <f>IF($B155="","",IFERROR(VLOOKUP($B155,'בתים ומוצבים'!$A$3:$B$32,2,FALSE),""))</f>
        <v/>
      </c>
      <c r="D155" s="7" t="n"/>
      <c r="E155" s="6" t="n"/>
      <c r="F155" s="7" t="n"/>
      <c r="G155" s="7" t="n"/>
      <c r="H155" s="7" t="n"/>
      <c r="I155" s="7" t="n"/>
      <c r="J155" s="7" t="n"/>
      <c r="K155" s="7" t="n"/>
      <c r="L155" s="7">
        <f>IF(OR($I155="",$K155=""),"",$I155-$K155)</f>
        <v/>
      </c>
      <c r="M155" s="6" t="n"/>
    </row>
    <row r="156">
      <c r="A156" s="7">
        <f>IF($E156="","",ROW()-2)</f>
        <v/>
      </c>
      <c r="B156" s="7" t="n"/>
      <c r="C156" s="7">
        <f>IF($B156="","",IFERROR(VLOOKUP($B156,'בתים ומוצבים'!$A$3:$B$32,2,FALSE),""))</f>
        <v/>
      </c>
      <c r="D156" s="7" t="n"/>
      <c r="E156" s="6" t="n"/>
      <c r="F156" s="7" t="n"/>
      <c r="G156" s="7" t="n"/>
      <c r="H156" s="7" t="n"/>
      <c r="I156" s="7" t="n"/>
      <c r="J156" s="7" t="n"/>
      <c r="K156" s="7" t="n"/>
      <c r="L156" s="7">
        <f>IF(OR($I156="",$K156=""),"",$I156-$K156)</f>
        <v/>
      </c>
      <c r="M156" s="6" t="n"/>
    </row>
    <row r="157">
      <c r="A157" s="7">
        <f>IF($E157="","",ROW()-2)</f>
        <v/>
      </c>
      <c r="B157" s="7" t="n"/>
      <c r="C157" s="7">
        <f>IF($B157="","",IFERROR(VLOOKUP($B157,'בתים ומוצבים'!$A$3:$B$32,2,FALSE),""))</f>
        <v/>
      </c>
      <c r="D157" s="7" t="n"/>
      <c r="E157" s="6" t="n"/>
      <c r="F157" s="7" t="n"/>
      <c r="G157" s="7" t="n"/>
      <c r="H157" s="7" t="n"/>
      <c r="I157" s="7" t="n"/>
      <c r="J157" s="7" t="n"/>
      <c r="K157" s="7" t="n"/>
      <c r="L157" s="7">
        <f>IF(OR($I157="",$K157=""),"",$I157-$K157)</f>
        <v/>
      </c>
      <c r="M157" s="6" t="n"/>
    </row>
    <row r="158">
      <c r="A158" s="7">
        <f>IF($E158="","",ROW()-2)</f>
        <v/>
      </c>
      <c r="B158" s="7" t="n"/>
      <c r="C158" s="7">
        <f>IF($B158="","",IFERROR(VLOOKUP($B158,'בתים ומוצבים'!$A$3:$B$32,2,FALSE),""))</f>
        <v/>
      </c>
      <c r="D158" s="7" t="n"/>
      <c r="E158" s="6" t="n"/>
      <c r="F158" s="7" t="n"/>
      <c r="G158" s="7" t="n"/>
      <c r="H158" s="7" t="n"/>
      <c r="I158" s="7" t="n"/>
      <c r="J158" s="7" t="n"/>
      <c r="K158" s="7" t="n"/>
      <c r="L158" s="7">
        <f>IF(OR($I158="",$K158=""),"",$I158-$K158)</f>
        <v/>
      </c>
      <c r="M158" s="6" t="n"/>
    </row>
    <row r="159">
      <c r="A159" s="7">
        <f>IF($E159="","",ROW()-2)</f>
        <v/>
      </c>
      <c r="B159" s="7" t="n"/>
      <c r="C159" s="7">
        <f>IF($B159="","",IFERROR(VLOOKUP($B159,'בתים ומוצבים'!$A$3:$B$32,2,FALSE),""))</f>
        <v/>
      </c>
      <c r="D159" s="7" t="n"/>
      <c r="E159" s="6" t="n"/>
      <c r="F159" s="7" t="n"/>
      <c r="G159" s="7" t="n"/>
      <c r="H159" s="7" t="n"/>
      <c r="I159" s="7" t="n"/>
      <c r="J159" s="7" t="n"/>
      <c r="K159" s="7" t="n"/>
      <c r="L159" s="7">
        <f>IF(OR($I159="",$K159=""),"",$I159-$K159)</f>
        <v/>
      </c>
      <c r="M159" s="6" t="n"/>
    </row>
    <row r="160">
      <c r="A160" s="7">
        <f>IF($E160="","",ROW()-2)</f>
        <v/>
      </c>
      <c r="B160" s="7" t="n"/>
      <c r="C160" s="7">
        <f>IF($B160="","",IFERROR(VLOOKUP($B160,'בתים ומוצבים'!$A$3:$B$32,2,FALSE),""))</f>
        <v/>
      </c>
      <c r="D160" s="7" t="n"/>
      <c r="E160" s="6" t="n"/>
      <c r="F160" s="7" t="n"/>
      <c r="G160" s="7" t="n"/>
      <c r="H160" s="7" t="n"/>
      <c r="I160" s="7" t="n"/>
      <c r="J160" s="7" t="n"/>
      <c r="K160" s="7" t="n"/>
      <c r="L160" s="7">
        <f>IF(OR($I160="",$K160=""),"",$I160-$K160)</f>
        <v/>
      </c>
      <c r="M160" s="6" t="n"/>
    </row>
    <row r="161">
      <c r="A161" s="7">
        <f>IF($E161="","",ROW()-2)</f>
        <v/>
      </c>
      <c r="B161" s="7" t="n"/>
      <c r="C161" s="7">
        <f>IF($B161="","",IFERROR(VLOOKUP($B161,'בתים ומוצבים'!$A$3:$B$32,2,FALSE),""))</f>
        <v/>
      </c>
      <c r="D161" s="7" t="n"/>
      <c r="E161" s="6" t="n"/>
      <c r="F161" s="7" t="n"/>
      <c r="G161" s="7" t="n"/>
      <c r="H161" s="7" t="n"/>
      <c r="I161" s="7" t="n"/>
      <c r="J161" s="7" t="n"/>
      <c r="K161" s="7" t="n"/>
      <c r="L161" s="7">
        <f>IF(OR($I161="",$K161=""),"",$I161-$K161)</f>
        <v/>
      </c>
      <c r="M161" s="6" t="n"/>
    </row>
    <row r="162">
      <c r="A162" s="7">
        <f>IF($E162="","",ROW()-2)</f>
        <v/>
      </c>
      <c r="B162" s="7" t="n"/>
      <c r="C162" s="7">
        <f>IF($B162="","",IFERROR(VLOOKUP($B162,'בתים ומוצבים'!$A$3:$B$32,2,FALSE),""))</f>
        <v/>
      </c>
      <c r="D162" s="7" t="n"/>
      <c r="E162" s="6" t="n"/>
      <c r="F162" s="7" t="n"/>
      <c r="G162" s="7" t="n"/>
      <c r="H162" s="7" t="n"/>
      <c r="I162" s="7" t="n"/>
      <c r="J162" s="7" t="n"/>
      <c r="K162" s="7" t="n"/>
      <c r="L162" s="7">
        <f>IF(OR($I162="",$K162=""),"",$I162-$K162)</f>
        <v/>
      </c>
      <c r="M162" s="6" t="n"/>
    </row>
    <row r="163">
      <c r="A163" s="7">
        <f>IF($E163="","",ROW()-2)</f>
        <v/>
      </c>
      <c r="B163" s="7" t="n"/>
      <c r="C163" s="7">
        <f>IF($B163="","",IFERROR(VLOOKUP($B163,'בתים ומוצבים'!$A$3:$B$32,2,FALSE),""))</f>
        <v/>
      </c>
      <c r="D163" s="7" t="n"/>
      <c r="E163" s="6" t="n"/>
      <c r="F163" s="7" t="n"/>
      <c r="G163" s="7" t="n"/>
      <c r="H163" s="7" t="n"/>
      <c r="I163" s="7" t="n"/>
      <c r="J163" s="7" t="n"/>
      <c r="K163" s="7" t="n"/>
      <c r="L163" s="7">
        <f>IF(OR($I163="",$K163=""),"",$I163-$K163)</f>
        <v/>
      </c>
      <c r="M163" s="6" t="n"/>
    </row>
    <row r="164">
      <c r="A164" s="7">
        <f>IF($E164="","",ROW()-2)</f>
        <v/>
      </c>
      <c r="B164" s="7" t="n"/>
      <c r="C164" s="7">
        <f>IF($B164="","",IFERROR(VLOOKUP($B164,'בתים ומוצבים'!$A$3:$B$32,2,FALSE),""))</f>
        <v/>
      </c>
      <c r="D164" s="7" t="n"/>
      <c r="E164" s="6" t="n"/>
      <c r="F164" s="7" t="n"/>
      <c r="G164" s="7" t="n"/>
      <c r="H164" s="7" t="n"/>
      <c r="I164" s="7" t="n"/>
      <c r="J164" s="7" t="n"/>
      <c r="K164" s="7" t="n"/>
      <c r="L164" s="7">
        <f>IF(OR($I164="",$K164=""),"",$I164-$K164)</f>
        <v/>
      </c>
      <c r="M164" s="6" t="n"/>
    </row>
    <row r="165">
      <c r="A165" s="7">
        <f>IF($E165="","",ROW()-2)</f>
        <v/>
      </c>
      <c r="B165" s="7" t="n"/>
      <c r="C165" s="7">
        <f>IF($B165="","",IFERROR(VLOOKUP($B165,'בתים ומוצבים'!$A$3:$B$32,2,FALSE),""))</f>
        <v/>
      </c>
      <c r="D165" s="7" t="n"/>
      <c r="E165" s="6" t="n"/>
      <c r="F165" s="7" t="n"/>
      <c r="G165" s="7" t="n"/>
      <c r="H165" s="7" t="n"/>
      <c r="I165" s="7" t="n"/>
      <c r="J165" s="7" t="n"/>
      <c r="K165" s="7" t="n"/>
      <c r="L165" s="7">
        <f>IF(OR($I165="",$K165=""),"",$I165-$K165)</f>
        <v/>
      </c>
      <c r="M165" s="6" t="n"/>
    </row>
    <row r="166">
      <c r="A166" s="7">
        <f>IF($E166="","",ROW()-2)</f>
        <v/>
      </c>
      <c r="B166" s="7" t="n"/>
      <c r="C166" s="7">
        <f>IF($B166="","",IFERROR(VLOOKUP($B166,'בתים ומוצבים'!$A$3:$B$32,2,FALSE),""))</f>
        <v/>
      </c>
      <c r="D166" s="7" t="n"/>
      <c r="E166" s="6" t="n"/>
      <c r="F166" s="7" t="n"/>
      <c r="G166" s="7" t="n"/>
      <c r="H166" s="7" t="n"/>
      <c r="I166" s="7" t="n"/>
      <c r="J166" s="7" t="n"/>
      <c r="K166" s="7" t="n"/>
      <c r="L166" s="7">
        <f>IF(OR($I166="",$K166=""),"",$I166-$K166)</f>
        <v/>
      </c>
      <c r="M166" s="6" t="n"/>
    </row>
    <row r="167">
      <c r="A167" s="7">
        <f>IF($E167="","",ROW()-2)</f>
        <v/>
      </c>
      <c r="B167" s="7" t="n"/>
      <c r="C167" s="7">
        <f>IF($B167="","",IFERROR(VLOOKUP($B167,'בתים ומוצבים'!$A$3:$B$32,2,FALSE),""))</f>
        <v/>
      </c>
      <c r="D167" s="7" t="n"/>
      <c r="E167" s="6" t="n"/>
      <c r="F167" s="7" t="n"/>
      <c r="G167" s="7" t="n"/>
      <c r="H167" s="7" t="n"/>
      <c r="I167" s="7" t="n"/>
      <c r="J167" s="7" t="n"/>
      <c r="K167" s="7" t="n"/>
      <c r="L167" s="7">
        <f>IF(OR($I167="",$K167=""),"",$I167-$K167)</f>
        <v/>
      </c>
      <c r="M167" s="6" t="n"/>
    </row>
    <row r="168">
      <c r="A168" s="7">
        <f>IF($E168="","",ROW()-2)</f>
        <v/>
      </c>
      <c r="B168" s="7" t="n"/>
      <c r="C168" s="7">
        <f>IF($B168="","",IFERROR(VLOOKUP($B168,'בתים ומוצבים'!$A$3:$B$32,2,FALSE),""))</f>
        <v/>
      </c>
      <c r="D168" s="7" t="n"/>
      <c r="E168" s="6" t="n"/>
      <c r="F168" s="7" t="n"/>
      <c r="G168" s="7" t="n"/>
      <c r="H168" s="7" t="n"/>
      <c r="I168" s="7" t="n"/>
      <c r="J168" s="7" t="n"/>
      <c r="K168" s="7" t="n"/>
      <c r="L168" s="7">
        <f>IF(OR($I168="",$K168=""),"",$I168-$K168)</f>
        <v/>
      </c>
      <c r="M168" s="6" t="n"/>
    </row>
    <row r="169">
      <c r="A169" s="7">
        <f>IF($E169="","",ROW()-2)</f>
        <v/>
      </c>
      <c r="B169" s="7" t="n"/>
      <c r="C169" s="7">
        <f>IF($B169="","",IFERROR(VLOOKUP($B169,'בתים ומוצבים'!$A$3:$B$32,2,FALSE),""))</f>
        <v/>
      </c>
      <c r="D169" s="7" t="n"/>
      <c r="E169" s="6" t="n"/>
      <c r="F169" s="7" t="n"/>
      <c r="G169" s="7" t="n"/>
      <c r="H169" s="7" t="n"/>
      <c r="I169" s="7" t="n"/>
      <c r="J169" s="7" t="n"/>
      <c r="K169" s="7" t="n"/>
      <c r="L169" s="7">
        <f>IF(OR($I169="",$K169=""),"",$I169-$K169)</f>
        <v/>
      </c>
      <c r="M169" s="6" t="n"/>
    </row>
    <row r="170">
      <c r="A170" s="7">
        <f>IF($E170="","",ROW()-2)</f>
        <v/>
      </c>
      <c r="B170" s="7" t="n"/>
      <c r="C170" s="7">
        <f>IF($B170="","",IFERROR(VLOOKUP($B170,'בתים ומוצבים'!$A$3:$B$32,2,FALSE),""))</f>
        <v/>
      </c>
      <c r="D170" s="7" t="n"/>
      <c r="E170" s="6" t="n"/>
      <c r="F170" s="7" t="n"/>
      <c r="G170" s="7" t="n"/>
      <c r="H170" s="7" t="n"/>
      <c r="I170" s="7" t="n"/>
      <c r="J170" s="7" t="n"/>
      <c r="K170" s="7" t="n"/>
      <c r="L170" s="7">
        <f>IF(OR($I170="",$K170=""),"",$I170-$K170)</f>
        <v/>
      </c>
      <c r="M170" s="6" t="n"/>
    </row>
    <row r="171">
      <c r="A171" s="7">
        <f>IF($E171="","",ROW()-2)</f>
        <v/>
      </c>
      <c r="B171" s="7" t="n"/>
      <c r="C171" s="7">
        <f>IF($B171="","",IFERROR(VLOOKUP($B171,'בתים ומוצבים'!$A$3:$B$32,2,FALSE),""))</f>
        <v/>
      </c>
      <c r="D171" s="7" t="n"/>
      <c r="E171" s="6" t="n"/>
      <c r="F171" s="7" t="n"/>
      <c r="G171" s="7" t="n"/>
      <c r="H171" s="7" t="n"/>
      <c r="I171" s="7" t="n"/>
      <c r="J171" s="7" t="n"/>
      <c r="K171" s="7" t="n"/>
      <c r="L171" s="7">
        <f>IF(OR($I171="",$K171=""),"",$I171-$K171)</f>
        <v/>
      </c>
      <c r="M171" s="6" t="n"/>
    </row>
    <row r="172">
      <c r="A172" s="7">
        <f>IF($E172="","",ROW()-2)</f>
        <v/>
      </c>
      <c r="B172" s="7" t="n"/>
      <c r="C172" s="7">
        <f>IF($B172="","",IFERROR(VLOOKUP($B172,'בתים ומוצבים'!$A$3:$B$32,2,FALSE),""))</f>
        <v/>
      </c>
      <c r="D172" s="7" t="n"/>
      <c r="E172" s="6" t="n"/>
      <c r="F172" s="7" t="n"/>
      <c r="G172" s="7" t="n"/>
      <c r="H172" s="7" t="n"/>
      <c r="I172" s="7" t="n"/>
      <c r="J172" s="7" t="n"/>
      <c r="K172" s="7" t="n"/>
      <c r="L172" s="7">
        <f>IF(OR($I172="",$K172=""),"",$I172-$K172)</f>
        <v/>
      </c>
      <c r="M172" s="6" t="n"/>
    </row>
    <row r="173">
      <c r="A173" s="7">
        <f>IF($E173="","",ROW()-2)</f>
        <v/>
      </c>
      <c r="B173" s="7" t="n"/>
      <c r="C173" s="7">
        <f>IF($B173="","",IFERROR(VLOOKUP($B173,'בתים ומוצבים'!$A$3:$B$32,2,FALSE),""))</f>
        <v/>
      </c>
      <c r="D173" s="7" t="n"/>
      <c r="E173" s="6" t="n"/>
      <c r="F173" s="7" t="n"/>
      <c r="G173" s="7" t="n"/>
      <c r="H173" s="7" t="n"/>
      <c r="I173" s="7" t="n"/>
      <c r="J173" s="7" t="n"/>
      <c r="K173" s="7" t="n"/>
      <c r="L173" s="7">
        <f>IF(OR($I173="",$K173=""),"",$I173-$K173)</f>
        <v/>
      </c>
      <c r="M173" s="6" t="n"/>
    </row>
    <row r="174">
      <c r="A174" s="7">
        <f>IF($E174="","",ROW()-2)</f>
        <v/>
      </c>
      <c r="B174" s="7" t="n"/>
      <c r="C174" s="7">
        <f>IF($B174="","",IFERROR(VLOOKUP($B174,'בתים ומוצבים'!$A$3:$B$32,2,FALSE),""))</f>
        <v/>
      </c>
      <c r="D174" s="7" t="n"/>
      <c r="E174" s="6" t="n"/>
      <c r="F174" s="7" t="n"/>
      <c r="G174" s="7" t="n"/>
      <c r="H174" s="7" t="n"/>
      <c r="I174" s="7" t="n"/>
      <c r="J174" s="7" t="n"/>
      <c r="K174" s="7" t="n"/>
      <c r="L174" s="7">
        <f>IF(OR($I174="",$K174=""),"",$I174-$K174)</f>
        <v/>
      </c>
      <c r="M174" s="6" t="n"/>
    </row>
    <row r="175">
      <c r="A175" s="7">
        <f>IF($E175="","",ROW()-2)</f>
        <v/>
      </c>
      <c r="B175" s="7" t="n"/>
      <c r="C175" s="7">
        <f>IF($B175="","",IFERROR(VLOOKUP($B175,'בתים ומוצבים'!$A$3:$B$32,2,FALSE),""))</f>
        <v/>
      </c>
      <c r="D175" s="7" t="n"/>
      <c r="E175" s="6" t="n"/>
      <c r="F175" s="7" t="n"/>
      <c r="G175" s="7" t="n"/>
      <c r="H175" s="7" t="n"/>
      <c r="I175" s="7" t="n"/>
      <c r="J175" s="7" t="n"/>
      <c r="K175" s="7" t="n"/>
      <c r="L175" s="7">
        <f>IF(OR($I175="",$K175=""),"",$I175-$K175)</f>
        <v/>
      </c>
      <c r="M175" s="6" t="n"/>
    </row>
    <row r="176">
      <c r="A176" s="7">
        <f>IF($E176="","",ROW()-2)</f>
        <v/>
      </c>
      <c r="B176" s="7" t="n"/>
      <c r="C176" s="7">
        <f>IF($B176="","",IFERROR(VLOOKUP($B176,'בתים ומוצבים'!$A$3:$B$32,2,FALSE),""))</f>
        <v/>
      </c>
      <c r="D176" s="7" t="n"/>
      <c r="E176" s="6" t="n"/>
      <c r="F176" s="7" t="n"/>
      <c r="G176" s="7" t="n"/>
      <c r="H176" s="7" t="n"/>
      <c r="I176" s="7" t="n"/>
      <c r="J176" s="7" t="n"/>
      <c r="K176" s="7" t="n"/>
      <c r="L176" s="7">
        <f>IF(OR($I176="",$K176=""),"",$I176-$K176)</f>
        <v/>
      </c>
      <c r="M176" s="6" t="n"/>
    </row>
    <row r="177">
      <c r="A177" s="7">
        <f>IF($E177="","",ROW()-2)</f>
        <v/>
      </c>
      <c r="B177" s="7" t="n"/>
      <c r="C177" s="7">
        <f>IF($B177="","",IFERROR(VLOOKUP($B177,'בתים ומוצבים'!$A$3:$B$32,2,FALSE),""))</f>
        <v/>
      </c>
      <c r="D177" s="7" t="n"/>
      <c r="E177" s="6" t="n"/>
      <c r="F177" s="7" t="n"/>
      <c r="G177" s="7" t="n"/>
      <c r="H177" s="7" t="n"/>
      <c r="I177" s="7" t="n"/>
      <c r="J177" s="7" t="n"/>
      <c r="K177" s="7" t="n"/>
      <c r="L177" s="7">
        <f>IF(OR($I177="",$K177=""),"",$I177-$K177)</f>
        <v/>
      </c>
      <c r="M177" s="6" t="n"/>
    </row>
    <row r="178">
      <c r="A178" s="7">
        <f>IF($E178="","",ROW()-2)</f>
        <v/>
      </c>
      <c r="B178" s="7" t="n"/>
      <c r="C178" s="7">
        <f>IF($B178="","",IFERROR(VLOOKUP($B178,'בתים ומוצבים'!$A$3:$B$32,2,FALSE),""))</f>
        <v/>
      </c>
      <c r="D178" s="7" t="n"/>
      <c r="E178" s="6" t="n"/>
      <c r="F178" s="7" t="n"/>
      <c r="G178" s="7" t="n"/>
      <c r="H178" s="7" t="n"/>
      <c r="I178" s="7" t="n"/>
      <c r="J178" s="7" t="n"/>
      <c r="K178" s="7" t="n"/>
      <c r="L178" s="7">
        <f>IF(OR($I178="",$K178=""),"",$I178-$K178)</f>
        <v/>
      </c>
      <c r="M178" s="6" t="n"/>
    </row>
    <row r="179">
      <c r="A179" s="7">
        <f>IF($E179="","",ROW()-2)</f>
        <v/>
      </c>
      <c r="B179" s="7" t="n"/>
      <c r="C179" s="7">
        <f>IF($B179="","",IFERROR(VLOOKUP($B179,'בתים ומוצבים'!$A$3:$B$32,2,FALSE),""))</f>
        <v/>
      </c>
      <c r="D179" s="7" t="n"/>
      <c r="E179" s="6" t="n"/>
      <c r="F179" s="7" t="n"/>
      <c r="G179" s="7" t="n"/>
      <c r="H179" s="7" t="n"/>
      <c r="I179" s="7" t="n"/>
      <c r="J179" s="7" t="n"/>
      <c r="K179" s="7" t="n"/>
      <c r="L179" s="7">
        <f>IF(OR($I179="",$K179=""),"",$I179-$K179)</f>
        <v/>
      </c>
      <c r="M179" s="6" t="n"/>
    </row>
    <row r="180">
      <c r="A180" s="7">
        <f>IF($E180="","",ROW()-2)</f>
        <v/>
      </c>
      <c r="B180" s="7" t="n"/>
      <c r="C180" s="7">
        <f>IF($B180="","",IFERROR(VLOOKUP($B180,'בתים ומוצבים'!$A$3:$B$32,2,FALSE),""))</f>
        <v/>
      </c>
      <c r="D180" s="7" t="n"/>
      <c r="E180" s="6" t="n"/>
      <c r="F180" s="7" t="n"/>
      <c r="G180" s="7" t="n"/>
      <c r="H180" s="7" t="n"/>
      <c r="I180" s="7" t="n"/>
      <c r="J180" s="7" t="n"/>
      <c r="K180" s="7" t="n"/>
      <c r="L180" s="7">
        <f>IF(OR($I180="",$K180=""),"",$I180-$K180)</f>
        <v/>
      </c>
      <c r="M180" s="6" t="n"/>
    </row>
    <row r="181">
      <c r="A181" s="7">
        <f>IF($E181="","",ROW()-2)</f>
        <v/>
      </c>
      <c r="B181" s="7" t="n"/>
      <c r="C181" s="7">
        <f>IF($B181="","",IFERROR(VLOOKUP($B181,'בתים ומוצבים'!$A$3:$B$32,2,FALSE),""))</f>
        <v/>
      </c>
      <c r="D181" s="7" t="n"/>
      <c r="E181" s="6" t="n"/>
      <c r="F181" s="7" t="n"/>
      <c r="G181" s="7" t="n"/>
      <c r="H181" s="7" t="n"/>
      <c r="I181" s="7" t="n"/>
      <c r="J181" s="7" t="n"/>
      <c r="K181" s="7" t="n"/>
      <c r="L181" s="7">
        <f>IF(OR($I181="",$K181=""),"",$I181-$K181)</f>
        <v/>
      </c>
      <c r="M181" s="6" t="n"/>
    </row>
    <row r="182">
      <c r="A182" s="7">
        <f>IF($E182="","",ROW()-2)</f>
        <v/>
      </c>
      <c r="B182" s="7" t="n"/>
      <c r="C182" s="7">
        <f>IF($B182="","",IFERROR(VLOOKUP($B182,'בתים ומוצבים'!$A$3:$B$32,2,FALSE),""))</f>
        <v/>
      </c>
      <c r="D182" s="7" t="n"/>
      <c r="E182" s="6" t="n"/>
      <c r="F182" s="7" t="n"/>
      <c r="G182" s="7" t="n"/>
      <c r="H182" s="7" t="n"/>
      <c r="I182" s="7" t="n"/>
      <c r="J182" s="7" t="n"/>
      <c r="K182" s="7" t="n"/>
      <c r="L182" s="7">
        <f>IF(OR($I182="",$K182=""),"",$I182-$K182)</f>
        <v/>
      </c>
      <c r="M182" s="6" t="n"/>
    </row>
    <row r="183">
      <c r="A183" s="7">
        <f>IF($E183="","",ROW()-2)</f>
        <v/>
      </c>
      <c r="B183" s="7" t="n"/>
      <c r="C183" s="7">
        <f>IF($B183="","",IFERROR(VLOOKUP($B183,'בתים ומוצבים'!$A$3:$B$32,2,FALSE),""))</f>
        <v/>
      </c>
      <c r="D183" s="7" t="n"/>
      <c r="E183" s="6" t="n"/>
      <c r="F183" s="7" t="n"/>
      <c r="G183" s="7" t="n"/>
      <c r="H183" s="7" t="n"/>
      <c r="I183" s="7" t="n"/>
      <c r="J183" s="7" t="n"/>
      <c r="K183" s="7" t="n"/>
      <c r="L183" s="7">
        <f>IF(OR($I183="",$K183=""),"",$I183-$K183)</f>
        <v/>
      </c>
      <c r="M183" s="6" t="n"/>
    </row>
    <row r="184">
      <c r="A184" s="7">
        <f>IF($E184="","",ROW()-2)</f>
        <v/>
      </c>
      <c r="B184" s="7" t="n"/>
      <c r="C184" s="7">
        <f>IF($B184="","",IFERROR(VLOOKUP($B184,'בתים ומוצבים'!$A$3:$B$32,2,FALSE),""))</f>
        <v/>
      </c>
      <c r="D184" s="7" t="n"/>
      <c r="E184" s="6" t="n"/>
      <c r="F184" s="7" t="n"/>
      <c r="G184" s="7" t="n"/>
      <c r="H184" s="7" t="n"/>
      <c r="I184" s="7" t="n"/>
      <c r="J184" s="7" t="n"/>
      <c r="K184" s="7" t="n"/>
      <c r="L184" s="7">
        <f>IF(OR($I184="",$K184=""),"",$I184-$K184)</f>
        <v/>
      </c>
      <c r="M184" s="6" t="n"/>
    </row>
    <row r="185">
      <c r="A185" s="7">
        <f>IF($E185="","",ROW()-2)</f>
        <v/>
      </c>
      <c r="B185" s="7" t="n"/>
      <c r="C185" s="7">
        <f>IF($B185="","",IFERROR(VLOOKUP($B185,'בתים ומוצבים'!$A$3:$B$32,2,FALSE),""))</f>
        <v/>
      </c>
      <c r="D185" s="7" t="n"/>
      <c r="E185" s="6" t="n"/>
      <c r="F185" s="7" t="n"/>
      <c r="G185" s="7" t="n"/>
      <c r="H185" s="7" t="n"/>
      <c r="I185" s="7" t="n"/>
      <c r="J185" s="7" t="n"/>
      <c r="K185" s="7" t="n"/>
      <c r="L185" s="7">
        <f>IF(OR($I185="",$K185=""),"",$I185-$K185)</f>
        <v/>
      </c>
      <c r="M185" s="6" t="n"/>
    </row>
    <row r="186">
      <c r="A186" s="7">
        <f>IF($E186="","",ROW()-2)</f>
        <v/>
      </c>
      <c r="B186" s="7" t="n"/>
      <c r="C186" s="7">
        <f>IF($B186="","",IFERROR(VLOOKUP($B186,'בתים ומוצבים'!$A$3:$B$32,2,FALSE),""))</f>
        <v/>
      </c>
      <c r="D186" s="7" t="n"/>
      <c r="E186" s="6" t="n"/>
      <c r="F186" s="7" t="n"/>
      <c r="G186" s="7" t="n"/>
      <c r="H186" s="7" t="n"/>
      <c r="I186" s="7" t="n"/>
      <c r="J186" s="7" t="n"/>
      <c r="K186" s="7" t="n"/>
      <c r="L186" s="7">
        <f>IF(OR($I186="",$K186=""),"",$I186-$K186)</f>
        <v/>
      </c>
      <c r="M186" s="6" t="n"/>
    </row>
    <row r="187">
      <c r="A187" s="7">
        <f>IF($E187="","",ROW()-2)</f>
        <v/>
      </c>
      <c r="B187" s="7" t="n"/>
      <c r="C187" s="7">
        <f>IF($B187="","",IFERROR(VLOOKUP($B187,'בתים ומוצבים'!$A$3:$B$32,2,FALSE),""))</f>
        <v/>
      </c>
      <c r="D187" s="7" t="n"/>
      <c r="E187" s="6" t="n"/>
      <c r="F187" s="7" t="n"/>
      <c r="G187" s="7" t="n"/>
      <c r="H187" s="7" t="n"/>
      <c r="I187" s="7" t="n"/>
      <c r="J187" s="7" t="n"/>
      <c r="K187" s="7" t="n"/>
      <c r="L187" s="7">
        <f>IF(OR($I187="",$K187=""),"",$I187-$K187)</f>
        <v/>
      </c>
      <c r="M187" s="6" t="n"/>
    </row>
    <row r="188">
      <c r="A188" s="7">
        <f>IF($E188="","",ROW()-2)</f>
        <v/>
      </c>
      <c r="B188" s="7" t="n"/>
      <c r="C188" s="7">
        <f>IF($B188="","",IFERROR(VLOOKUP($B188,'בתים ומוצבים'!$A$3:$B$32,2,FALSE),""))</f>
        <v/>
      </c>
      <c r="D188" s="7" t="n"/>
      <c r="E188" s="6" t="n"/>
      <c r="F188" s="7" t="n"/>
      <c r="G188" s="7" t="n"/>
      <c r="H188" s="7" t="n"/>
      <c r="I188" s="7" t="n"/>
      <c r="J188" s="7" t="n"/>
      <c r="K188" s="7" t="n"/>
      <c r="L188" s="7">
        <f>IF(OR($I188="",$K188=""),"",$I188-$K188)</f>
        <v/>
      </c>
      <c r="M188" s="6" t="n"/>
    </row>
    <row r="189">
      <c r="A189" s="7">
        <f>IF($E189="","",ROW()-2)</f>
        <v/>
      </c>
      <c r="B189" s="7" t="n"/>
      <c r="C189" s="7">
        <f>IF($B189="","",IFERROR(VLOOKUP($B189,'בתים ומוצבים'!$A$3:$B$32,2,FALSE),""))</f>
        <v/>
      </c>
      <c r="D189" s="7" t="n"/>
      <c r="E189" s="6" t="n"/>
      <c r="F189" s="7" t="n"/>
      <c r="G189" s="7" t="n"/>
      <c r="H189" s="7" t="n"/>
      <c r="I189" s="7" t="n"/>
      <c r="J189" s="7" t="n"/>
      <c r="K189" s="7" t="n"/>
      <c r="L189" s="7">
        <f>IF(OR($I189="",$K189=""),"",$I189-$K189)</f>
        <v/>
      </c>
      <c r="M189" s="6" t="n"/>
    </row>
    <row r="190">
      <c r="A190" s="7">
        <f>IF($E190="","",ROW()-2)</f>
        <v/>
      </c>
      <c r="B190" s="7" t="n"/>
      <c r="C190" s="7">
        <f>IF($B190="","",IFERROR(VLOOKUP($B190,'בתים ומוצבים'!$A$3:$B$32,2,FALSE),""))</f>
        <v/>
      </c>
      <c r="D190" s="7" t="n"/>
      <c r="E190" s="6" t="n"/>
      <c r="F190" s="7" t="n"/>
      <c r="G190" s="7" t="n"/>
      <c r="H190" s="7" t="n"/>
      <c r="I190" s="7" t="n"/>
      <c r="J190" s="7" t="n"/>
      <c r="K190" s="7" t="n"/>
      <c r="L190" s="7">
        <f>IF(OR($I190="",$K190=""),"",$I190-$K190)</f>
        <v/>
      </c>
      <c r="M190" s="6" t="n"/>
    </row>
    <row r="191">
      <c r="A191" s="7">
        <f>IF($E191="","",ROW()-2)</f>
        <v/>
      </c>
      <c r="B191" s="7" t="n"/>
      <c r="C191" s="7">
        <f>IF($B191="","",IFERROR(VLOOKUP($B191,'בתים ומוצבים'!$A$3:$B$32,2,FALSE),""))</f>
        <v/>
      </c>
      <c r="D191" s="7" t="n"/>
      <c r="E191" s="6" t="n"/>
      <c r="F191" s="7" t="n"/>
      <c r="G191" s="7" t="n"/>
      <c r="H191" s="7" t="n"/>
      <c r="I191" s="7" t="n"/>
      <c r="J191" s="7" t="n"/>
      <c r="K191" s="7" t="n"/>
      <c r="L191" s="7">
        <f>IF(OR($I191="",$K191=""),"",$I191-$K191)</f>
        <v/>
      </c>
      <c r="M191" s="6" t="n"/>
    </row>
    <row r="192">
      <c r="A192" s="7">
        <f>IF($E192="","",ROW()-2)</f>
        <v/>
      </c>
      <c r="B192" s="7" t="n"/>
      <c r="C192" s="7">
        <f>IF($B192="","",IFERROR(VLOOKUP($B192,'בתים ומוצבים'!$A$3:$B$32,2,FALSE),""))</f>
        <v/>
      </c>
      <c r="D192" s="7" t="n"/>
      <c r="E192" s="6" t="n"/>
      <c r="F192" s="7" t="n"/>
      <c r="G192" s="7" t="n"/>
      <c r="H192" s="7" t="n"/>
      <c r="I192" s="7" t="n"/>
      <c r="J192" s="7" t="n"/>
      <c r="K192" s="7" t="n"/>
      <c r="L192" s="7">
        <f>IF(OR($I192="",$K192=""),"",$I192-$K192)</f>
        <v/>
      </c>
      <c r="M192" s="6" t="n"/>
    </row>
    <row r="193">
      <c r="A193" s="7">
        <f>IF($E193="","",ROW()-2)</f>
        <v/>
      </c>
      <c r="B193" s="7" t="n"/>
      <c r="C193" s="7">
        <f>IF($B193="","",IFERROR(VLOOKUP($B193,'בתים ומוצבים'!$A$3:$B$32,2,FALSE),""))</f>
        <v/>
      </c>
      <c r="D193" s="7" t="n"/>
      <c r="E193" s="6" t="n"/>
      <c r="F193" s="7" t="n"/>
      <c r="G193" s="7" t="n"/>
      <c r="H193" s="7" t="n"/>
      <c r="I193" s="7" t="n"/>
      <c r="J193" s="7" t="n"/>
      <c r="K193" s="7" t="n"/>
      <c r="L193" s="7">
        <f>IF(OR($I193="",$K193=""),"",$I193-$K193)</f>
        <v/>
      </c>
      <c r="M193" s="6" t="n"/>
    </row>
    <row r="194">
      <c r="A194" s="7">
        <f>IF($E194="","",ROW()-2)</f>
        <v/>
      </c>
      <c r="B194" s="7" t="n"/>
      <c r="C194" s="7">
        <f>IF($B194="","",IFERROR(VLOOKUP($B194,'בתים ומוצבים'!$A$3:$B$32,2,FALSE),""))</f>
        <v/>
      </c>
      <c r="D194" s="7" t="n"/>
      <c r="E194" s="6" t="n"/>
      <c r="F194" s="7" t="n"/>
      <c r="G194" s="7" t="n"/>
      <c r="H194" s="7" t="n"/>
      <c r="I194" s="7" t="n"/>
      <c r="J194" s="7" t="n"/>
      <c r="K194" s="7" t="n"/>
      <c r="L194" s="7">
        <f>IF(OR($I194="",$K194=""),"",$I194-$K194)</f>
        <v/>
      </c>
      <c r="M194" s="6" t="n"/>
    </row>
    <row r="195">
      <c r="A195" s="7">
        <f>IF($E195="","",ROW()-2)</f>
        <v/>
      </c>
      <c r="B195" s="7" t="n"/>
      <c r="C195" s="7">
        <f>IF($B195="","",IFERROR(VLOOKUP($B195,'בתים ומוצבים'!$A$3:$B$32,2,FALSE),""))</f>
        <v/>
      </c>
      <c r="D195" s="7" t="n"/>
      <c r="E195" s="6" t="n"/>
      <c r="F195" s="7" t="n"/>
      <c r="G195" s="7" t="n"/>
      <c r="H195" s="7" t="n"/>
      <c r="I195" s="7" t="n"/>
      <c r="J195" s="7" t="n"/>
      <c r="K195" s="7" t="n"/>
      <c r="L195" s="7">
        <f>IF(OR($I195="",$K195=""),"",$I195-$K195)</f>
        <v/>
      </c>
      <c r="M195" s="6" t="n"/>
    </row>
    <row r="196">
      <c r="A196" s="7">
        <f>IF($E196="","",ROW()-2)</f>
        <v/>
      </c>
      <c r="B196" s="7" t="n"/>
      <c r="C196" s="7">
        <f>IF($B196="","",IFERROR(VLOOKUP($B196,'בתים ומוצבים'!$A$3:$B$32,2,FALSE),""))</f>
        <v/>
      </c>
      <c r="D196" s="7" t="n"/>
      <c r="E196" s="6" t="n"/>
      <c r="F196" s="7" t="n"/>
      <c r="G196" s="7" t="n"/>
      <c r="H196" s="7" t="n"/>
      <c r="I196" s="7" t="n"/>
      <c r="J196" s="7" t="n"/>
      <c r="K196" s="7" t="n"/>
      <c r="L196" s="7">
        <f>IF(OR($I196="",$K196=""),"",$I196-$K196)</f>
        <v/>
      </c>
      <c r="M196" s="6" t="n"/>
    </row>
    <row r="197">
      <c r="A197" s="7">
        <f>IF($E197="","",ROW()-2)</f>
        <v/>
      </c>
      <c r="B197" s="7" t="n"/>
      <c r="C197" s="7">
        <f>IF($B197="","",IFERROR(VLOOKUP($B197,'בתים ומוצבים'!$A$3:$B$32,2,FALSE),""))</f>
        <v/>
      </c>
      <c r="D197" s="7" t="n"/>
      <c r="E197" s="6" t="n"/>
      <c r="F197" s="7" t="n"/>
      <c r="G197" s="7" t="n"/>
      <c r="H197" s="7" t="n"/>
      <c r="I197" s="7" t="n"/>
      <c r="J197" s="7" t="n"/>
      <c r="K197" s="7" t="n"/>
      <c r="L197" s="7">
        <f>IF(OR($I197="",$K197=""),"",$I197-$K197)</f>
        <v/>
      </c>
      <c r="M197" s="6" t="n"/>
    </row>
    <row r="198">
      <c r="A198" s="7">
        <f>IF($E198="","",ROW()-2)</f>
        <v/>
      </c>
      <c r="B198" s="7" t="n"/>
      <c r="C198" s="7">
        <f>IF($B198="","",IFERROR(VLOOKUP($B198,'בתים ומוצבים'!$A$3:$B$32,2,FALSE),""))</f>
        <v/>
      </c>
      <c r="D198" s="7" t="n"/>
      <c r="E198" s="6" t="n"/>
      <c r="F198" s="7" t="n"/>
      <c r="G198" s="7" t="n"/>
      <c r="H198" s="7" t="n"/>
      <c r="I198" s="7" t="n"/>
      <c r="J198" s="7" t="n"/>
      <c r="K198" s="7" t="n"/>
      <c r="L198" s="7">
        <f>IF(OR($I198="",$K198=""),"",$I198-$K198)</f>
        <v/>
      </c>
      <c r="M198" s="6" t="n"/>
    </row>
    <row r="199">
      <c r="A199" s="7">
        <f>IF($E199="","",ROW()-2)</f>
        <v/>
      </c>
      <c r="B199" s="7" t="n"/>
      <c r="C199" s="7">
        <f>IF($B199="","",IFERROR(VLOOKUP($B199,'בתים ומוצבים'!$A$3:$B$32,2,FALSE),""))</f>
        <v/>
      </c>
      <c r="D199" s="7" t="n"/>
      <c r="E199" s="6" t="n"/>
      <c r="F199" s="7" t="n"/>
      <c r="G199" s="7" t="n"/>
      <c r="H199" s="7" t="n"/>
      <c r="I199" s="7" t="n"/>
      <c r="J199" s="7" t="n"/>
      <c r="K199" s="7" t="n"/>
      <c r="L199" s="7">
        <f>IF(OR($I199="",$K199=""),"",$I199-$K199)</f>
        <v/>
      </c>
      <c r="M199" s="6" t="n"/>
    </row>
    <row r="200">
      <c r="A200" s="7">
        <f>IF($E200="","",ROW()-2)</f>
        <v/>
      </c>
      <c r="B200" s="7" t="n"/>
      <c r="C200" s="7">
        <f>IF($B200="","",IFERROR(VLOOKUP($B200,'בתים ומוצבים'!$A$3:$B$32,2,FALSE),""))</f>
        <v/>
      </c>
      <c r="D200" s="7" t="n"/>
      <c r="E200" s="6" t="n"/>
      <c r="F200" s="7" t="n"/>
      <c r="G200" s="7" t="n"/>
      <c r="H200" s="7" t="n"/>
      <c r="I200" s="7" t="n"/>
      <c r="J200" s="7" t="n"/>
      <c r="K200" s="7" t="n"/>
      <c r="L200" s="7">
        <f>IF(OR($I200="",$K200=""),"",$I200-$K200)</f>
        <v/>
      </c>
      <c r="M200" s="6" t="n"/>
    </row>
    <row r="201">
      <c r="A201" s="7">
        <f>IF($E201="","",ROW()-2)</f>
        <v/>
      </c>
      <c r="B201" s="7" t="n"/>
      <c r="C201" s="7">
        <f>IF($B201="","",IFERROR(VLOOKUP($B201,'בתים ומוצבים'!$A$3:$B$32,2,FALSE),""))</f>
        <v/>
      </c>
      <c r="D201" s="7" t="n"/>
      <c r="E201" s="6" t="n"/>
      <c r="F201" s="7" t="n"/>
      <c r="G201" s="7" t="n"/>
      <c r="H201" s="7" t="n"/>
      <c r="I201" s="7" t="n"/>
      <c r="J201" s="7" t="n"/>
      <c r="K201" s="7" t="n"/>
      <c r="L201" s="7">
        <f>IF(OR($I201="",$K201=""),"",$I201-$K201)</f>
        <v/>
      </c>
      <c r="M201" s="6" t="n"/>
    </row>
    <row r="202">
      <c r="A202" s="7">
        <f>IF($E202="","",ROW()-2)</f>
        <v/>
      </c>
      <c r="B202" s="7" t="n"/>
      <c r="C202" s="7">
        <f>IF($B202="","",IFERROR(VLOOKUP($B202,'בתים ומוצבים'!$A$3:$B$32,2,FALSE),""))</f>
        <v/>
      </c>
      <c r="D202" s="7" t="n"/>
      <c r="E202" s="6" t="n"/>
      <c r="F202" s="7" t="n"/>
      <c r="G202" s="7" t="n"/>
      <c r="H202" s="7" t="n"/>
      <c r="I202" s="7" t="n"/>
      <c r="J202" s="7" t="n"/>
      <c r="K202" s="7" t="n"/>
      <c r="L202" s="7">
        <f>IF(OR($I202="",$K202=""),"",$I202-$K202)</f>
        <v/>
      </c>
      <c r="M202" s="6" t="n"/>
    </row>
    <row r="203">
      <c r="A203" s="7">
        <f>IF($E203="","",ROW()-2)</f>
        <v/>
      </c>
      <c r="B203" s="7" t="n"/>
      <c r="C203" s="7">
        <f>IF($B203="","",IFERROR(VLOOKUP($B203,'בתים ומוצבים'!$A$3:$B$32,2,FALSE),""))</f>
        <v/>
      </c>
      <c r="D203" s="7" t="n"/>
      <c r="E203" s="6" t="n"/>
      <c r="F203" s="7" t="n"/>
      <c r="G203" s="7" t="n"/>
      <c r="H203" s="7" t="n"/>
      <c r="I203" s="7" t="n"/>
      <c r="J203" s="7" t="n"/>
      <c r="K203" s="7" t="n"/>
      <c r="L203" s="7">
        <f>IF(OR($I203="",$K203=""),"",$I203-$K203)</f>
        <v/>
      </c>
      <c r="M203" s="6" t="n"/>
    </row>
    <row r="204">
      <c r="A204" s="7">
        <f>IF($E204="","",ROW()-2)</f>
        <v/>
      </c>
      <c r="B204" s="7" t="n"/>
      <c r="C204" s="7">
        <f>IF($B204="","",IFERROR(VLOOKUP($B204,'בתים ומוצבים'!$A$3:$B$32,2,FALSE),""))</f>
        <v/>
      </c>
      <c r="D204" s="7" t="n"/>
      <c r="E204" s="6" t="n"/>
      <c r="F204" s="7" t="n"/>
      <c r="G204" s="7" t="n"/>
      <c r="H204" s="7" t="n"/>
      <c r="I204" s="7" t="n"/>
      <c r="J204" s="7" t="n"/>
      <c r="K204" s="7" t="n"/>
      <c r="L204" s="7">
        <f>IF(OR($I204="",$K204=""),"",$I204-$K204)</f>
        <v/>
      </c>
      <c r="M204" s="6" t="n"/>
    </row>
    <row r="205">
      <c r="A205" s="7">
        <f>IF($E205="","",ROW()-2)</f>
        <v/>
      </c>
      <c r="B205" s="7" t="n"/>
      <c r="C205" s="7">
        <f>IF($B205="","",IFERROR(VLOOKUP($B205,'בתים ומוצבים'!$A$3:$B$32,2,FALSE),""))</f>
        <v/>
      </c>
      <c r="D205" s="7" t="n"/>
      <c r="E205" s="6" t="n"/>
      <c r="F205" s="7" t="n"/>
      <c r="G205" s="7" t="n"/>
      <c r="H205" s="7" t="n"/>
      <c r="I205" s="7" t="n"/>
      <c r="J205" s="7" t="n"/>
      <c r="K205" s="7" t="n"/>
      <c r="L205" s="7">
        <f>IF(OR($I205="",$K205=""),"",$I205-$K205)</f>
        <v/>
      </c>
      <c r="M205" s="6" t="n"/>
    </row>
    <row r="206">
      <c r="A206" s="7">
        <f>IF($E206="","",ROW()-2)</f>
        <v/>
      </c>
      <c r="B206" s="7" t="n"/>
      <c r="C206" s="7">
        <f>IF($B206="","",IFERROR(VLOOKUP($B206,'בתים ומוצבים'!$A$3:$B$32,2,FALSE),""))</f>
        <v/>
      </c>
      <c r="D206" s="7" t="n"/>
      <c r="E206" s="6" t="n"/>
      <c r="F206" s="7" t="n"/>
      <c r="G206" s="7" t="n"/>
      <c r="H206" s="7" t="n"/>
      <c r="I206" s="7" t="n"/>
      <c r="J206" s="7" t="n"/>
      <c r="K206" s="7" t="n"/>
      <c r="L206" s="7">
        <f>IF(OR($I206="",$K206=""),"",$I206-$K206)</f>
        <v/>
      </c>
      <c r="M206" s="6" t="n"/>
    </row>
    <row r="207">
      <c r="A207" s="7">
        <f>IF($E207="","",ROW()-2)</f>
        <v/>
      </c>
      <c r="B207" s="7" t="n"/>
      <c r="C207" s="7">
        <f>IF($B207="","",IFERROR(VLOOKUP($B207,'בתים ומוצבים'!$A$3:$B$32,2,FALSE),""))</f>
        <v/>
      </c>
      <c r="D207" s="7" t="n"/>
      <c r="E207" s="6" t="n"/>
      <c r="F207" s="7" t="n"/>
      <c r="G207" s="7" t="n"/>
      <c r="H207" s="7" t="n"/>
      <c r="I207" s="7" t="n"/>
      <c r="J207" s="7" t="n"/>
      <c r="K207" s="7" t="n"/>
      <c r="L207" s="7">
        <f>IF(OR($I207="",$K207=""),"",$I207-$K207)</f>
        <v/>
      </c>
      <c r="M207" s="6" t="n"/>
    </row>
    <row r="208">
      <c r="A208" s="7">
        <f>IF($E208="","",ROW()-2)</f>
        <v/>
      </c>
      <c r="B208" s="7" t="n"/>
      <c r="C208" s="7">
        <f>IF($B208="","",IFERROR(VLOOKUP($B208,'בתים ומוצבים'!$A$3:$B$32,2,FALSE),""))</f>
        <v/>
      </c>
      <c r="D208" s="7" t="n"/>
      <c r="E208" s="6" t="n"/>
      <c r="F208" s="7" t="n"/>
      <c r="G208" s="7" t="n"/>
      <c r="H208" s="7" t="n"/>
      <c r="I208" s="7" t="n"/>
      <c r="J208" s="7" t="n"/>
      <c r="K208" s="7" t="n"/>
      <c r="L208" s="7">
        <f>IF(OR($I208="",$K208=""),"",$I208-$K208)</f>
        <v/>
      </c>
      <c r="M208" s="6" t="n"/>
    </row>
    <row r="209">
      <c r="A209" s="7">
        <f>IF($E209="","",ROW()-2)</f>
        <v/>
      </c>
      <c r="B209" s="7" t="n"/>
      <c r="C209" s="7">
        <f>IF($B209="","",IFERROR(VLOOKUP($B209,'בתים ומוצבים'!$A$3:$B$32,2,FALSE),""))</f>
        <v/>
      </c>
      <c r="D209" s="7" t="n"/>
      <c r="E209" s="6" t="n"/>
      <c r="F209" s="7" t="n"/>
      <c r="G209" s="7" t="n"/>
      <c r="H209" s="7" t="n"/>
      <c r="I209" s="7" t="n"/>
      <c r="J209" s="7" t="n"/>
      <c r="K209" s="7" t="n"/>
      <c r="L209" s="7">
        <f>IF(OR($I209="",$K209=""),"",$I209-$K209)</f>
        <v/>
      </c>
      <c r="M209" s="6" t="n"/>
    </row>
    <row r="210">
      <c r="A210" s="7">
        <f>IF($E210="","",ROW()-2)</f>
        <v/>
      </c>
      <c r="B210" s="7" t="n"/>
      <c r="C210" s="7">
        <f>IF($B210="","",IFERROR(VLOOKUP($B210,'בתים ומוצבים'!$A$3:$B$32,2,FALSE),""))</f>
        <v/>
      </c>
      <c r="D210" s="7" t="n"/>
      <c r="E210" s="6" t="n"/>
      <c r="F210" s="7" t="n"/>
      <c r="G210" s="7" t="n"/>
      <c r="H210" s="7" t="n"/>
      <c r="I210" s="7" t="n"/>
      <c r="J210" s="7" t="n"/>
      <c r="K210" s="7" t="n"/>
      <c r="L210" s="7">
        <f>IF(OR($I210="",$K210=""),"",$I210-$K210)</f>
        <v/>
      </c>
      <c r="M210" s="6" t="n"/>
    </row>
    <row r="211">
      <c r="A211" s="7">
        <f>IF($E211="","",ROW()-2)</f>
        <v/>
      </c>
      <c r="B211" s="7" t="n"/>
      <c r="C211" s="7">
        <f>IF($B211="","",IFERROR(VLOOKUP($B211,'בתים ומוצבים'!$A$3:$B$32,2,FALSE),""))</f>
        <v/>
      </c>
      <c r="D211" s="7" t="n"/>
      <c r="E211" s="6" t="n"/>
      <c r="F211" s="7" t="n"/>
      <c r="G211" s="7" t="n"/>
      <c r="H211" s="7" t="n"/>
      <c r="I211" s="7" t="n"/>
      <c r="J211" s="7" t="n"/>
      <c r="K211" s="7" t="n"/>
      <c r="L211" s="7">
        <f>IF(OR($I211="",$K211=""),"",$I211-$K211)</f>
        <v/>
      </c>
      <c r="M211" s="6" t="n"/>
    </row>
    <row r="212">
      <c r="A212" s="7">
        <f>IF($E212="","",ROW()-2)</f>
        <v/>
      </c>
      <c r="B212" s="7" t="n"/>
      <c r="C212" s="7">
        <f>IF($B212="","",IFERROR(VLOOKUP($B212,'בתים ומוצבים'!$A$3:$B$32,2,FALSE),""))</f>
        <v/>
      </c>
      <c r="D212" s="7" t="n"/>
      <c r="E212" s="6" t="n"/>
      <c r="F212" s="7" t="n"/>
      <c r="G212" s="7" t="n"/>
      <c r="H212" s="7" t="n"/>
      <c r="I212" s="7" t="n"/>
      <c r="J212" s="7" t="n"/>
      <c r="K212" s="7" t="n"/>
      <c r="L212" s="7">
        <f>IF(OR($I212="",$K212=""),"",$I212-$K212)</f>
        <v/>
      </c>
      <c r="M212" s="6" t="n"/>
    </row>
    <row r="213">
      <c r="A213" s="7">
        <f>IF($E213="","",ROW()-2)</f>
        <v/>
      </c>
      <c r="B213" s="7" t="n"/>
      <c r="C213" s="7">
        <f>IF($B213="","",IFERROR(VLOOKUP($B213,'בתים ומוצבים'!$A$3:$B$32,2,FALSE),""))</f>
        <v/>
      </c>
      <c r="D213" s="7" t="n"/>
      <c r="E213" s="6" t="n"/>
      <c r="F213" s="7" t="n"/>
      <c r="G213" s="7" t="n"/>
      <c r="H213" s="7" t="n"/>
      <c r="I213" s="7" t="n"/>
      <c r="J213" s="7" t="n"/>
      <c r="K213" s="7" t="n"/>
      <c r="L213" s="7">
        <f>IF(OR($I213="",$K213=""),"",$I213-$K213)</f>
        <v/>
      </c>
      <c r="M213" s="6" t="n"/>
    </row>
    <row r="214">
      <c r="A214" s="7">
        <f>IF($E214="","",ROW()-2)</f>
        <v/>
      </c>
      <c r="B214" s="7" t="n"/>
      <c r="C214" s="7">
        <f>IF($B214="","",IFERROR(VLOOKUP($B214,'בתים ומוצבים'!$A$3:$B$32,2,FALSE),""))</f>
        <v/>
      </c>
      <c r="D214" s="7" t="n"/>
      <c r="E214" s="6" t="n"/>
      <c r="F214" s="7" t="n"/>
      <c r="G214" s="7" t="n"/>
      <c r="H214" s="7" t="n"/>
      <c r="I214" s="7" t="n"/>
      <c r="J214" s="7" t="n"/>
      <c r="K214" s="7" t="n"/>
      <c r="L214" s="7">
        <f>IF(OR($I214="",$K214=""),"",$I214-$K214)</f>
        <v/>
      </c>
      <c r="M214" s="6" t="n"/>
    </row>
    <row r="215">
      <c r="A215" s="7">
        <f>IF($E215="","",ROW()-2)</f>
        <v/>
      </c>
      <c r="B215" s="7" t="n"/>
      <c r="C215" s="7">
        <f>IF($B215="","",IFERROR(VLOOKUP($B215,'בתים ומוצבים'!$A$3:$B$32,2,FALSE),""))</f>
        <v/>
      </c>
      <c r="D215" s="7" t="n"/>
      <c r="E215" s="6" t="n"/>
      <c r="F215" s="7" t="n"/>
      <c r="G215" s="7" t="n"/>
      <c r="H215" s="7" t="n"/>
      <c r="I215" s="7" t="n"/>
      <c r="J215" s="7" t="n"/>
      <c r="K215" s="7" t="n"/>
      <c r="L215" s="7">
        <f>IF(OR($I215="",$K215=""),"",$I215-$K215)</f>
        <v/>
      </c>
      <c r="M215" s="6" t="n"/>
    </row>
    <row r="216">
      <c r="A216" s="7">
        <f>IF($E216="","",ROW()-2)</f>
        <v/>
      </c>
      <c r="B216" s="7" t="n"/>
      <c r="C216" s="7">
        <f>IF($B216="","",IFERROR(VLOOKUP($B216,'בתים ומוצבים'!$A$3:$B$32,2,FALSE),""))</f>
        <v/>
      </c>
      <c r="D216" s="7" t="n"/>
      <c r="E216" s="6" t="n"/>
      <c r="F216" s="7" t="n"/>
      <c r="G216" s="7" t="n"/>
      <c r="H216" s="7" t="n"/>
      <c r="I216" s="7" t="n"/>
      <c r="J216" s="7" t="n"/>
      <c r="K216" s="7" t="n"/>
      <c r="L216" s="7">
        <f>IF(OR($I216="",$K216=""),"",$I216-$K216)</f>
        <v/>
      </c>
      <c r="M216" s="6" t="n"/>
    </row>
    <row r="217">
      <c r="A217" s="7">
        <f>IF($E217="","",ROW()-2)</f>
        <v/>
      </c>
      <c r="B217" s="7" t="n"/>
      <c r="C217" s="7">
        <f>IF($B217="","",IFERROR(VLOOKUP($B217,'בתים ומוצבים'!$A$3:$B$32,2,FALSE),""))</f>
        <v/>
      </c>
      <c r="D217" s="7" t="n"/>
      <c r="E217" s="6" t="n"/>
      <c r="F217" s="7" t="n"/>
      <c r="G217" s="7" t="n"/>
      <c r="H217" s="7" t="n"/>
      <c r="I217" s="7" t="n"/>
      <c r="J217" s="7" t="n"/>
      <c r="K217" s="7" t="n"/>
      <c r="L217" s="7">
        <f>IF(OR($I217="",$K217=""),"",$I217-$K217)</f>
        <v/>
      </c>
      <c r="M217" s="6" t="n"/>
    </row>
    <row r="218">
      <c r="A218" s="7">
        <f>IF($E218="","",ROW()-2)</f>
        <v/>
      </c>
      <c r="B218" s="7" t="n"/>
      <c r="C218" s="7">
        <f>IF($B218="","",IFERROR(VLOOKUP($B218,'בתים ומוצבים'!$A$3:$B$32,2,FALSE),""))</f>
        <v/>
      </c>
      <c r="D218" s="7" t="n"/>
      <c r="E218" s="6" t="n"/>
      <c r="F218" s="7" t="n"/>
      <c r="G218" s="7" t="n"/>
      <c r="H218" s="7" t="n"/>
      <c r="I218" s="7" t="n"/>
      <c r="J218" s="7" t="n"/>
      <c r="K218" s="7" t="n"/>
      <c r="L218" s="7">
        <f>IF(OR($I218="",$K218=""),"",$I218-$K218)</f>
        <v/>
      </c>
      <c r="M218" s="6" t="n"/>
    </row>
    <row r="219">
      <c r="A219" s="7">
        <f>IF($E219="","",ROW()-2)</f>
        <v/>
      </c>
      <c r="B219" s="7" t="n"/>
      <c r="C219" s="7">
        <f>IF($B219="","",IFERROR(VLOOKUP($B219,'בתים ומוצבים'!$A$3:$B$32,2,FALSE),""))</f>
        <v/>
      </c>
      <c r="D219" s="7" t="n"/>
      <c r="E219" s="6" t="n"/>
      <c r="F219" s="7" t="n"/>
      <c r="G219" s="7" t="n"/>
      <c r="H219" s="7" t="n"/>
      <c r="I219" s="7" t="n"/>
      <c r="J219" s="7" t="n"/>
      <c r="K219" s="7" t="n"/>
      <c r="L219" s="7">
        <f>IF(OR($I219="",$K219=""),"",$I219-$K219)</f>
        <v/>
      </c>
      <c r="M219" s="6" t="n"/>
    </row>
    <row r="220">
      <c r="A220" s="7">
        <f>IF($E220="","",ROW()-2)</f>
        <v/>
      </c>
      <c r="B220" s="7" t="n"/>
      <c r="C220" s="7">
        <f>IF($B220="","",IFERROR(VLOOKUP($B220,'בתים ומוצבים'!$A$3:$B$32,2,FALSE),""))</f>
        <v/>
      </c>
      <c r="D220" s="7" t="n"/>
      <c r="E220" s="6" t="n"/>
      <c r="F220" s="7" t="n"/>
      <c r="G220" s="7" t="n"/>
      <c r="H220" s="7" t="n"/>
      <c r="I220" s="7" t="n"/>
      <c r="J220" s="7" t="n"/>
      <c r="K220" s="7" t="n"/>
      <c r="L220" s="7">
        <f>IF(OR($I220="",$K220=""),"",$I220-$K220)</f>
        <v/>
      </c>
      <c r="M220" s="6" t="n"/>
    </row>
    <row r="221">
      <c r="A221" s="7">
        <f>IF($E221="","",ROW()-2)</f>
        <v/>
      </c>
      <c r="B221" s="7" t="n"/>
      <c r="C221" s="7">
        <f>IF($B221="","",IFERROR(VLOOKUP($B221,'בתים ומוצבים'!$A$3:$B$32,2,FALSE),""))</f>
        <v/>
      </c>
      <c r="D221" s="7" t="n"/>
      <c r="E221" s="6" t="n"/>
      <c r="F221" s="7" t="n"/>
      <c r="G221" s="7" t="n"/>
      <c r="H221" s="7" t="n"/>
      <c r="I221" s="7" t="n"/>
      <c r="J221" s="7" t="n"/>
      <c r="K221" s="7" t="n"/>
      <c r="L221" s="7">
        <f>IF(OR($I221="",$K221=""),"",$I221-$K221)</f>
        <v/>
      </c>
      <c r="M221" s="6" t="n"/>
    </row>
    <row r="222">
      <c r="A222" s="7">
        <f>IF($E222="","",ROW()-2)</f>
        <v/>
      </c>
      <c r="B222" s="7" t="n"/>
      <c r="C222" s="7">
        <f>IF($B222="","",IFERROR(VLOOKUP($B222,'בתים ומוצבים'!$A$3:$B$32,2,FALSE),""))</f>
        <v/>
      </c>
      <c r="D222" s="7" t="n"/>
      <c r="E222" s="6" t="n"/>
      <c r="F222" s="7" t="n"/>
      <c r="G222" s="7" t="n"/>
      <c r="H222" s="7" t="n"/>
      <c r="I222" s="7" t="n"/>
      <c r="J222" s="7" t="n"/>
      <c r="K222" s="7" t="n"/>
      <c r="L222" s="7">
        <f>IF(OR($I222="",$K222=""),"",$I222-$K222)</f>
        <v/>
      </c>
      <c r="M222" s="6" t="n"/>
    </row>
    <row r="223">
      <c r="A223" s="7">
        <f>IF($E223="","",ROW()-2)</f>
        <v/>
      </c>
      <c r="B223" s="7" t="n"/>
      <c r="C223" s="7">
        <f>IF($B223="","",IFERROR(VLOOKUP($B223,'בתים ומוצבים'!$A$3:$B$32,2,FALSE),""))</f>
        <v/>
      </c>
      <c r="D223" s="7" t="n"/>
      <c r="E223" s="6" t="n"/>
      <c r="F223" s="7" t="n"/>
      <c r="G223" s="7" t="n"/>
      <c r="H223" s="7" t="n"/>
      <c r="I223" s="7" t="n"/>
      <c r="J223" s="7" t="n"/>
      <c r="K223" s="7" t="n"/>
      <c r="L223" s="7">
        <f>IF(OR($I223="",$K223=""),"",$I223-$K223)</f>
        <v/>
      </c>
      <c r="M223" s="6" t="n"/>
    </row>
    <row r="224">
      <c r="A224" s="7">
        <f>IF($E224="","",ROW()-2)</f>
        <v/>
      </c>
      <c r="B224" s="7" t="n"/>
      <c r="C224" s="7">
        <f>IF($B224="","",IFERROR(VLOOKUP($B224,'בתים ומוצבים'!$A$3:$B$32,2,FALSE),""))</f>
        <v/>
      </c>
      <c r="D224" s="7" t="n"/>
      <c r="E224" s="6" t="n"/>
      <c r="F224" s="7" t="n"/>
      <c r="G224" s="7" t="n"/>
      <c r="H224" s="7" t="n"/>
      <c r="I224" s="7" t="n"/>
      <c r="J224" s="7" t="n"/>
      <c r="K224" s="7" t="n"/>
      <c r="L224" s="7">
        <f>IF(OR($I224="",$K224=""),"",$I224-$K224)</f>
        <v/>
      </c>
      <c r="M224" s="6" t="n"/>
    </row>
    <row r="225">
      <c r="A225" s="7">
        <f>IF($E225="","",ROW()-2)</f>
        <v/>
      </c>
      <c r="B225" s="7" t="n"/>
      <c r="C225" s="7">
        <f>IF($B225="","",IFERROR(VLOOKUP($B225,'בתים ומוצבים'!$A$3:$B$32,2,FALSE),""))</f>
        <v/>
      </c>
      <c r="D225" s="7" t="n"/>
      <c r="E225" s="6" t="n"/>
      <c r="F225" s="7" t="n"/>
      <c r="G225" s="7" t="n"/>
      <c r="H225" s="7" t="n"/>
      <c r="I225" s="7" t="n"/>
      <c r="J225" s="7" t="n"/>
      <c r="K225" s="7" t="n"/>
      <c r="L225" s="7">
        <f>IF(OR($I225="",$K225=""),"",$I225-$K225)</f>
        <v/>
      </c>
      <c r="M225" s="6" t="n"/>
    </row>
    <row r="226">
      <c r="A226" s="7">
        <f>IF($E226="","",ROW()-2)</f>
        <v/>
      </c>
      <c r="B226" s="7" t="n"/>
      <c r="C226" s="7">
        <f>IF($B226="","",IFERROR(VLOOKUP($B226,'בתים ומוצבים'!$A$3:$B$32,2,FALSE),""))</f>
        <v/>
      </c>
      <c r="D226" s="7" t="n"/>
      <c r="E226" s="6" t="n"/>
      <c r="F226" s="7" t="n"/>
      <c r="G226" s="7" t="n"/>
      <c r="H226" s="7" t="n"/>
      <c r="I226" s="7" t="n"/>
      <c r="J226" s="7" t="n"/>
      <c r="K226" s="7" t="n"/>
      <c r="L226" s="7">
        <f>IF(OR($I226="",$K226=""),"",$I226-$K226)</f>
        <v/>
      </c>
      <c r="M226" s="6" t="n"/>
    </row>
    <row r="227">
      <c r="A227" s="7">
        <f>IF($E227="","",ROW()-2)</f>
        <v/>
      </c>
      <c r="B227" s="7" t="n"/>
      <c r="C227" s="7">
        <f>IF($B227="","",IFERROR(VLOOKUP($B227,'בתים ומוצבים'!$A$3:$B$32,2,FALSE),""))</f>
        <v/>
      </c>
      <c r="D227" s="7" t="n"/>
      <c r="E227" s="6" t="n"/>
      <c r="F227" s="7" t="n"/>
      <c r="G227" s="7" t="n"/>
      <c r="H227" s="7" t="n"/>
      <c r="I227" s="7" t="n"/>
      <c r="J227" s="7" t="n"/>
      <c r="K227" s="7" t="n"/>
      <c r="L227" s="7">
        <f>IF(OR($I227="",$K227=""),"",$I227-$K227)</f>
        <v/>
      </c>
      <c r="M227" s="6" t="n"/>
    </row>
    <row r="228">
      <c r="A228" s="7">
        <f>IF($E228="","",ROW()-2)</f>
        <v/>
      </c>
      <c r="B228" s="7" t="n"/>
      <c r="C228" s="7">
        <f>IF($B228="","",IFERROR(VLOOKUP($B228,'בתים ומוצבים'!$A$3:$B$32,2,FALSE),""))</f>
        <v/>
      </c>
      <c r="D228" s="7" t="n"/>
      <c r="E228" s="6" t="n"/>
      <c r="F228" s="7" t="n"/>
      <c r="G228" s="7" t="n"/>
      <c r="H228" s="7" t="n"/>
      <c r="I228" s="7" t="n"/>
      <c r="J228" s="7" t="n"/>
      <c r="K228" s="7" t="n"/>
      <c r="L228" s="7">
        <f>IF(OR($I228="",$K228=""),"",$I228-$K228)</f>
        <v/>
      </c>
      <c r="M228" s="6" t="n"/>
    </row>
    <row r="229">
      <c r="A229" s="7">
        <f>IF($E229="","",ROW()-2)</f>
        <v/>
      </c>
      <c r="B229" s="7" t="n"/>
      <c r="C229" s="7">
        <f>IF($B229="","",IFERROR(VLOOKUP($B229,'בתים ומוצבים'!$A$3:$B$32,2,FALSE),""))</f>
        <v/>
      </c>
      <c r="D229" s="7" t="n"/>
      <c r="E229" s="6" t="n"/>
      <c r="F229" s="7" t="n"/>
      <c r="G229" s="7" t="n"/>
      <c r="H229" s="7" t="n"/>
      <c r="I229" s="7" t="n"/>
      <c r="J229" s="7" t="n"/>
      <c r="K229" s="7" t="n"/>
      <c r="L229" s="7">
        <f>IF(OR($I229="",$K229=""),"",$I229-$K229)</f>
        <v/>
      </c>
      <c r="M229" s="6" t="n"/>
    </row>
    <row r="230">
      <c r="A230" s="7">
        <f>IF($E230="","",ROW()-2)</f>
        <v/>
      </c>
      <c r="B230" s="7" t="n"/>
      <c r="C230" s="7">
        <f>IF($B230="","",IFERROR(VLOOKUP($B230,'בתים ומוצבים'!$A$3:$B$32,2,FALSE),""))</f>
        <v/>
      </c>
      <c r="D230" s="7" t="n"/>
      <c r="E230" s="6" t="n"/>
      <c r="F230" s="7" t="n"/>
      <c r="G230" s="7" t="n"/>
      <c r="H230" s="7" t="n"/>
      <c r="I230" s="7" t="n"/>
      <c r="J230" s="7" t="n"/>
      <c r="K230" s="7" t="n"/>
      <c r="L230" s="7">
        <f>IF(OR($I230="",$K230=""),"",$I230-$K230)</f>
        <v/>
      </c>
      <c r="M230" s="6" t="n"/>
    </row>
    <row r="231">
      <c r="A231" s="7">
        <f>IF($E231="","",ROW()-2)</f>
        <v/>
      </c>
      <c r="B231" s="7" t="n"/>
      <c r="C231" s="7">
        <f>IF($B231="","",IFERROR(VLOOKUP($B231,'בתים ומוצבים'!$A$3:$B$32,2,FALSE),""))</f>
        <v/>
      </c>
      <c r="D231" s="7" t="n"/>
      <c r="E231" s="6" t="n"/>
      <c r="F231" s="7" t="n"/>
      <c r="G231" s="7" t="n"/>
      <c r="H231" s="7" t="n"/>
      <c r="I231" s="7" t="n"/>
      <c r="J231" s="7" t="n"/>
      <c r="K231" s="7" t="n"/>
      <c r="L231" s="7">
        <f>IF(OR($I231="",$K231=""),"",$I231-$K231)</f>
        <v/>
      </c>
      <c r="M231" s="6" t="n"/>
    </row>
    <row r="232">
      <c r="A232" s="7">
        <f>IF($E232="","",ROW()-2)</f>
        <v/>
      </c>
      <c r="B232" s="7" t="n"/>
      <c r="C232" s="7">
        <f>IF($B232="","",IFERROR(VLOOKUP($B232,'בתים ומוצבים'!$A$3:$B$32,2,FALSE),""))</f>
        <v/>
      </c>
      <c r="D232" s="7" t="n"/>
      <c r="E232" s="6" t="n"/>
      <c r="F232" s="7" t="n"/>
      <c r="G232" s="7" t="n"/>
      <c r="H232" s="7" t="n"/>
      <c r="I232" s="7" t="n"/>
      <c r="J232" s="7" t="n"/>
      <c r="K232" s="7" t="n"/>
      <c r="L232" s="7">
        <f>IF(OR($I232="",$K232=""),"",$I232-$K232)</f>
        <v/>
      </c>
      <c r="M232" s="6" t="n"/>
    </row>
    <row r="233">
      <c r="A233" s="7">
        <f>IF($E233="","",ROW()-2)</f>
        <v/>
      </c>
      <c r="B233" s="7" t="n"/>
      <c r="C233" s="7">
        <f>IF($B233="","",IFERROR(VLOOKUP($B233,'בתים ומוצבים'!$A$3:$B$32,2,FALSE),""))</f>
        <v/>
      </c>
      <c r="D233" s="7" t="n"/>
      <c r="E233" s="6" t="n"/>
      <c r="F233" s="7" t="n"/>
      <c r="G233" s="7" t="n"/>
      <c r="H233" s="7" t="n"/>
      <c r="I233" s="7" t="n"/>
      <c r="J233" s="7" t="n"/>
      <c r="K233" s="7" t="n"/>
      <c r="L233" s="7">
        <f>IF(OR($I233="",$K233=""),"",$I233-$K233)</f>
        <v/>
      </c>
      <c r="M233" s="6" t="n"/>
    </row>
    <row r="234">
      <c r="A234" s="7">
        <f>IF($E234="","",ROW()-2)</f>
        <v/>
      </c>
      <c r="B234" s="7" t="n"/>
      <c r="C234" s="7">
        <f>IF($B234="","",IFERROR(VLOOKUP($B234,'בתים ומוצבים'!$A$3:$B$32,2,FALSE),""))</f>
        <v/>
      </c>
      <c r="D234" s="7" t="n"/>
      <c r="E234" s="6" t="n"/>
      <c r="F234" s="7" t="n"/>
      <c r="G234" s="7" t="n"/>
      <c r="H234" s="7" t="n"/>
      <c r="I234" s="7" t="n"/>
      <c r="J234" s="7" t="n"/>
      <c r="K234" s="7" t="n"/>
      <c r="L234" s="7">
        <f>IF(OR($I234="",$K234=""),"",$I234-$K234)</f>
        <v/>
      </c>
      <c r="M234" s="6" t="n"/>
    </row>
    <row r="235">
      <c r="A235" s="7">
        <f>IF($E235="","",ROW()-2)</f>
        <v/>
      </c>
      <c r="B235" s="7" t="n"/>
      <c r="C235" s="7">
        <f>IF($B235="","",IFERROR(VLOOKUP($B235,'בתים ומוצבים'!$A$3:$B$32,2,FALSE),""))</f>
        <v/>
      </c>
      <c r="D235" s="7" t="n"/>
      <c r="E235" s="6" t="n"/>
      <c r="F235" s="7" t="n"/>
      <c r="G235" s="7" t="n"/>
      <c r="H235" s="7" t="n"/>
      <c r="I235" s="7" t="n"/>
      <c r="J235" s="7" t="n"/>
      <c r="K235" s="7" t="n"/>
      <c r="L235" s="7">
        <f>IF(OR($I235="",$K235=""),"",$I235-$K235)</f>
        <v/>
      </c>
      <c r="M235" s="6" t="n"/>
    </row>
    <row r="236">
      <c r="A236" s="7">
        <f>IF($E236="","",ROW()-2)</f>
        <v/>
      </c>
      <c r="B236" s="7" t="n"/>
      <c r="C236" s="7">
        <f>IF($B236="","",IFERROR(VLOOKUP($B236,'בתים ומוצבים'!$A$3:$B$32,2,FALSE),""))</f>
        <v/>
      </c>
      <c r="D236" s="7" t="n"/>
      <c r="E236" s="6" t="n"/>
      <c r="F236" s="7" t="n"/>
      <c r="G236" s="7" t="n"/>
      <c r="H236" s="7" t="n"/>
      <c r="I236" s="7" t="n"/>
      <c r="J236" s="7" t="n"/>
      <c r="K236" s="7" t="n"/>
      <c r="L236" s="7">
        <f>IF(OR($I236="",$K236=""),"",$I236-$K236)</f>
        <v/>
      </c>
      <c r="M236" s="6" t="n"/>
    </row>
    <row r="237">
      <c r="A237" s="7">
        <f>IF($E237="","",ROW()-2)</f>
        <v/>
      </c>
      <c r="B237" s="7" t="n"/>
      <c r="C237" s="7">
        <f>IF($B237="","",IFERROR(VLOOKUP($B237,'בתים ומוצבים'!$A$3:$B$32,2,FALSE),""))</f>
        <v/>
      </c>
      <c r="D237" s="7" t="n"/>
      <c r="E237" s="6" t="n"/>
      <c r="F237" s="7" t="n"/>
      <c r="G237" s="7" t="n"/>
      <c r="H237" s="7" t="n"/>
      <c r="I237" s="7" t="n"/>
      <c r="J237" s="7" t="n"/>
      <c r="K237" s="7" t="n"/>
      <c r="L237" s="7">
        <f>IF(OR($I237="",$K237=""),"",$I237-$K237)</f>
        <v/>
      </c>
      <c r="M237" s="6" t="n"/>
    </row>
    <row r="238">
      <c r="A238" s="7">
        <f>IF($E238="","",ROW()-2)</f>
        <v/>
      </c>
      <c r="B238" s="7" t="n"/>
      <c r="C238" s="7">
        <f>IF($B238="","",IFERROR(VLOOKUP($B238,'בתים ומוצבים'!$A$3:$B$32,2,FALSE),""))</f>
        <v/>
      </c>
      <c r="D238" s="7" t="n"/>
      <c r="E238" s="6" t="n"/>
      <c r="F238" s="7" t="n"/>
      <c r="G238" s="7" t="n"/>
      <c r="H238" s="7" t="n"/>
      <c r="I238" s="7" t="n"/>
      <c r="J238" s="7" t="n"/>
      <c r="K238" s="7" t="n"/>
      <c r="L238" s="7">
        <f>IF(OR($I238="",$K238=""),"",$I238-$K238)</f>
        <v/>
      </c>
      <c r="M238" s="6" t="n"/>
    </row>
    <row r="239">
      <c r="A239" s="7">
        <f>IF($E239="","",ROW()-2)</f>
        <v/>
      </c>
      <c r="B239" s="7" t="n"/>
      <c r="C239" s="7">
        <f>IF($B239="","",IFERROR(VLOOKUP($B239,'בתים ומוצבים'!$A$3:$B$32,2,FALSE),""))</f>
        <v/>
      </c>
      <c r="D239" s="7" t="n"/>
      <c r="E239" s="6" t="n"/>
      <c r="F239" s="7" t="n"/>
      <c r="G239" s="7" t="n"/>
      <c r="H239" s="7" t="n"/>
      <c r="I239" s="7" t="n"/>
      <c r="J239" s="7" t="n"/>
      <c r="K239" s="7" t="n"/>
      <c r="L239" s="7">
        <f>IF(OR($I239="",$K239=""),"",$I239-$K239)</f>
        <v/>
      </c>
      <c r="M239" s="6" t="n"/>
    </row>
    <row r="240">
      <c r="A240" s="7">
        <f>IF($E240="","",ROW()-2)</f>
        <v/>
      </c>
      <c r="B240" s="7" t="n"/>
      <c r="C240" s="7">
        <f>IF($B240="","",IFERROR(VLOOKUP($B240,'בתים ומוצבים'!$A$3:$B$32,2,FALSE),""))</f>
        <v/>
      </c>
      <c r="D240" s="7" t="n"/>
      <c r="E240" s="6" t="n"/>
      <c r="F240" s="7" t="n"/>
      <c r="G240" s="7" t="n"/>
      <c r="H240" s="7" t="n"/>
      <c r="I240" s="7" t="n"/>
      <c r="J240" s="7" t="n"/>
      <c r="K240" s="7" t="n"/>
      <c r="L240" s="7">
        <f>IF(OR($I240="",$K240=""),"",$I240-$K240)</f>
        <v/>
      </c>
      <c r="M240" s="6" t="n"/>
    </row>
    <row r="241">
      <c r="A241" s="7">
        <f>IF($E241="","",ROW()-2)</f>
        <v/>
      </c>
      <c r="B241" s="7" t="n"/>
      <c r="C241" s="7">
        <f>IF($B241="","",IFERROR(VLOOKUP($B241,'בתים ומוצבים'!$A$3:$B$32,2,FALSE),""))</f>
        <v/>
      </c>
      <c r="D241" s="7" t="n"/>
      <c r="E241" s="6" t="n"/>
      <c r="F241" s="7" t="n"/>
      <c r="G241" s="7" t="n"/>
      <c r="H241" s="7" t="n"/>
      <c r="I241" s="7" t="n"/>
      <c r="J241" s="7" t="n"/>
      <c r="K241" s="7" t="n"/>
      <c r="L241" s="7">
        <f>IF(OR($I241="",$K241=""),"",$I241-$K241)</f>
        <v/>
      </c>
      <c r="M241" s="6" t="n"/>
    </row>
    <row r="242">
      <c r="A242" s="7">
        <f>IF($E242="","",ROW()-2)</f>
        <v/>
      </c>
      <c r="B242" s="7" t="n"/>
      <c r="C242" s="7">
        <f>IF($B242="","",IFERROR(VLOOKUP($B242,'בתים ומוצבים'!$A$3:$B$32,2,FALSE),""))</f>
        <v/>
      </c>
      <c r="D242" s="7" t="n"/>
      <c r="E242" s="6" t="n"/>
      <c r="F242" s="7" t="n"/>
      <c r="G242" s="7" t="n"/>
      <c r="H242" s="7" t="n"/>
      <c r="I242" s="7" t="n"/>
      <c r="J242" s="7" t="n"/>
      <c r="K242" s="7" t="n"/>
      <c r="L242" s="7">
        <f>IF(OR($I242="",$K242=""),"",$I242-$K242)</f>
        <v/>
      </c>
      <c r="M242" s="6" t="n"/>
    </row>
    <row r="243">
      <c r="A243" s="7">
        <f>IF($E243="","",ROW()-2)</f>
        <v/>
      </c>
      <c r="B243" s="7" t="n"/>
      <c r="C243" s="7">
        <f>IF($B243="","",IFERROR(VLOOKUP($B243,'בתים ומוצבים'!$A$3:$B$32,2,FALSE),""))</f>
        <v/>
      </c>
      <c r="D243" s="7" t="n"/>
      <c r="E243" s="6" t="n"/>
      <c r="F243" s="7" t="n"/>
      <c r="G243" s="7" t="n"/>
      <c r="H243" s="7" t="n"/>
      <c r="I243" s="7" t="n"/>
      <c r="J243" s="7" t="n"/>
      <c r="K243" s="7" t="n"/>
      <c r="L243" s="7">
        <f>IF(OR($I243="",$K243=""),"",$I243-$K243)</f>
        <v/>
      </c>
      <c r="M243" s="6" t="n"/>
    </row>
    <row r="244">
      <c r="A244" s="7">
        <f>IF($E244="","",ROW()-2)</f>
        <v/>
      </c>
      <c r="B244" s="7" t="n"/>
      <c r="C244" s="7">
        <f>IF($B244="","",IFERROR(VLOOKUP($B244,'בתים ומוצבים'!$A$3:$B$32,2,FALSE),""))</f>
        <v/>
      </c>
      <c r="D244" s="7" t="n"/>
      <c r="E244" s="6" t="n"/>
      <c r="F244" s="7" t="n"/>
      <c r="G244" s="7" t="n"/>
      <c r="H244" s="7" t="n"/>
      <c r="I244" s="7" t="n"/>
      <c r="J244" s="7" t="n"/>
      <c r="K244" s="7" t="n"/>
      <c r="L244" s="7">
        <f>IF(OR($I244="",$K244=""),"",$I244-$K244)</f>
        <v/>
      </c>
      <c r="M244" s="6" t="n"/>
    </row>
    <row r="245">
      <c r="A245" s="7">
        <f>IF($E245="","",ROW()-2)</f>
        <v/>
      </c>
      <c r="B245" s="7" t="n"/>
      <c r="C245" s="7">
        <f>IF($B245="","",IFERROR(VLOOKUP($B245,'בתים ומוצבים'!$A$3:$B$32,2,FALSE),""))</f>
        <v/>
      </c>
      <c r="D245" s="7" t="n"/>
      <c r="E245" s="6" t="n"/>
      <c r="F245" s="7" t="n"/>
      <c r="G245" s="7" t="n"/>
      <c r="H245" s="7" t="n"/>
      <c r="I245" s="7" t="n"/>
      <c r="J245" s="7" t="n"/>
      <c r="K245" s="7" t="n"/>
      <c r="L245" s="7">
        <f>IF(OR($I245="",$K245=""),"",$I245-$K245)</f>
        <v/>
      </c>
      <c r="M245" s="6" t="n"/>
    </row>
    <row r="246">
      <c r="A246" s="7">
        <f>IF($E246="","",ROW()-2)</f>
        <v/>
      </c>
      <c r="B246" s="7" t="n"/>
      <c r="C246" s="7">
        <f>IF($B246="","",IFERROR(VLOOKUP($B246,'בתים ומוצבים'!$A$3:$B$32,2,FALSE),""))</f>
        <v/>
      </c>
      <c r="D246" s="7" t="n"/>
      <c r="E246" s="6" t="n"/>
      <c r="F246" s="7" t="n"/>
      <c r="G246" s="7" t="n"/>
      <c r="H246" s="7" t="n"/>
      <c r="I246" s="7" t="n"/>
      <c r="J246" s="7" t="n"/>
      <c r="K246" s="7" t="n"/>
      <c r="L246" s="7">
        <f>IF(OR($I246="",$K246=""),"",$I246-$K246)</f>
        <v/>
      </c>
      <c r="M246" s="6" t="n"/>
    </row>
    <row r="247">
      <c r="A247" s="7">
        <f>IF($E247="","",ROW()-2)</f>
        <v/>
      </c>
      <c r="B247" s="7" t="n"/>
      <c r="C247" s="7">
        <f>IF($B247="","",IFERROR(VLOOKUP($B247,'בתים ומוצבים'!$A$3:$B$32,2,FALSE),""))</f>
        <v/>
      </c>
      <c r="D247" s="7" t="n"/>
      <c r="E247" s="6" t="n"/>
      <c r="F247" s="7" t="n"/>
      <c r="G247" s="7" t="n"/>
      <c r="H247" s="7" t="n"/>
      <c r="I247" s="7" t="n"/>
      <c r="J247" s="7" t="n"/>
      <c r="K247" s="7" t="n"/>
      <c r="L247" s="7">
        <f>IF(OR($I247="",$K247=""),"",$I247-$K247)</f>
        <v/>
      </c>
      <c r="M247" s="6" t="n"/>
    </row>
    <row r="248">
      <c r="A248" s="7">
        <f>IF($E248="","",ROW()-2)</f>
        <v/>
      </c>
      <c r="B248" s="7" t="n"/>
      <c r="C248" s="7">
        <f>IF($B248="","",IFERROR(VLOOKUP($B248,'בתים ומוצבים'!$A$3:$B$32,2,FALSE),""))</f>
        <v/>
      </c>
      <c r="D248" s="7" t="n"/>
      <c r="E248" s="6" t="n"/>
      <c r="F248" s="7" t="n"/>
      <c r="G248" s="7" t="n"/>
      <c r="H248" s="7" t="n"/>
      <c r="I248" s="7" t="n"/>
      <c r="J248" s="7" t="n"/>
      <c r="K248" s="7" t="n"/>
      <c r="L248" s="7">
        <f>IF(OR($I248="",$K248=""),"",$I248-$K248)</f>
        <v/>
      </c>
      <c r="M248" s="6" t="n"/>
    </row>
    <row r="249">
      <c r="A249" s="7">
        <f>IF($E249="","",ROW()-2)</f>
        <v/>
      </c>
      <c r="B249" s="7" t="n"/>
      <c r="C249" s="7">
        <f>IF($B249="","",IFERROR(VLOOKUP($B249,'בתים ומוצבים'!$A$3:$B$32,2,FALSE),""))</f>
        <v/>
      </c>
      <c r="D249" s="7" t="n"/>
      <c r="E249" s="6" t="n"/>
      <c r="F249" s="7" t="n"/>
      <c r="G249" s="7" t="n"/>
      <c r="H249" s="7" t="n"/>
      <c r="I249" s="7" t="n"/>
      <c r="J249" s="7" t="n"/>
      <c r="K249" s="7" t="n"/>
      <c r="L249" s="7">
        <f>IF(OR($I249="",$K249=""),"",$I249-$K249)</f>
        <v/>
      </c>
      <c r="M249" s="6" t="n"/>
    </row>
    <row r="250">
      <c r="A250" s="7">
        <f>IF($E250="","",ROW()-2)</f>
        <v/>
      </c>
      <c r="B250" s="7" t="n"/>
      <c r="C250" s="7">
        <f>IF($B250="","",IFERROR(VLOOKUP($B250,'בתים ומוצבים'!$A$3:$B$32,2,FALSE),""))</f>
        <v/>
      </c>
      <c r="D250" s="7" t="n"/>
      <c r="E250" s="6" t="n"/>
      <c r="F250" s="7" t="n"/>
      <c r="G250" s="7" t="n"/>
      <c r="H250" s="7" t="n"/>
      <c r="I250" s="7" t="n"/>
      <c r="J250" s="7" t="n"/>
      <c r="K250" s="7" t="n"/>
      <c r="L250" s="7">
        <f>IF(OR($I250="",$K250=""),"",$I250-$K250)</f>
        <v/>
      </c>
      <c r="M250" s="6" t="n"/>
    </row>
    <row r="251">
      <c r="A251" s="7">
        <f>IF($E251="","",ROW()-2)</f>
        <v/>
      </c>
      <c r="B251" s="7" t="n"/>
      <c r="C251" s="7">
        <f>IF($B251="","",IFERROR(VLOOKUP($B251,'בתים ומוצבים'!$A$3:$B$32,2,FALSE),""))</f>
        <v/>
      </c>
      <c r="D251" s="7" t="n"/>
      <c r="E251" s="6" t="n"/>
      <c r="F251" s="7" t="n"/>
      <c r="G251" s="7" t="n"/>
      <c r="H251" s="7" t="n"/>
      <c r="I251" s="7" t="n"/>
      <c r="J251" s="7" t="n"/>
      <c r="K251" s="7" t="n"/>
      <c r="L251" s="7">
        <f>IF(OR($I251="",$K251=""),"",$I251-$K251)</f>
        <v/>
      </c>
      <c r="M251" s="6" t="n"/>
    </row>
    <row r="252">
      <c r="A252" s="7">
        <f>IF($E252="","",ROW()-2)</f>
        <v/>
      </c>
      <c r="B252" s="7" t="n"/>
      <c r="C252" s="7">
        <f>IF($B252="","",IFERROR(VLOOKUP($B252,'בתים ומוצבים'!$A$3:$B$32,2,FALSE),""))</f>
        <v/>
      </c>
      <c r="D252" s="7" t="n"/>
      <c r="E252" s="6" t="n"/>
      <c r="F252" s="7" t="n"/>
      <c r="G252" s="7" t="n"/>
      <c r="H252" s="7" t="n"/>
      <c r="I252" s="7" t="n"/>
      <c r="J252" s="7" t="n"/>
      <c r="K252" s="7" t="n"/>
      <c r="L252" s="7">
        <f>IF(OR($I252="",$K252=""),"",$I252-$K252)</f>
        <v/>
      </c>
      <c r="M252" s="6" t="n"/>
    </row>
    <row r="253">
      <c r="A253" s="7">
        <f>IF($E253="","",ROW()-2)</f>
        <v/>
      </c>
      <c r="B253" s="7" t="n"/>
      <c r="C253" s="7">
        <f>IF($B253="","",IFERROR(VLOOKUP($B253,'בתים ומוצבים'!$A$3:$B$32,2,FALSE),""))</f>
        <v/>
      </c>
      <c r="D253" s="7" t="n"/>
      <c r="E253" s="6" t="n"/>
      <c r="F253" s="7" t="n"/>
      <c r="G253" s="7" t="n"/>
      <c r="H253" s="7" t="n"/>
      <c r="I253" s="7" t="n"/>
      <c r="J253" s="7" t="n"/>
      <c r="K253" s="7" t="n"/>
      <c r="L253" s="7">
        <f>IF(OR($I253="",$K253=""),"",$I253-$K253)</f>
        <v/>
      </c>
      <c r="M253" s="6" t="n"/>
    </row>
    <row r="254">
      <c r="A254" s="7">
        <f>IF($E254="","",ROW()-2)</f>
        <v/>
      </c>
      <c r="B254" s="7" t="n"/>
      <c r="C254" s="7">
        <f>IF($B254="","",IFERROR(VLOOKUP($B254,'בתים ומוצבים'!$A$3:$B$32,2,FALSE),""))</f>
        <v/>
      </c>
      <c r="D254" s="7" t="n"/>
      <c r="E254" s="6" t="n"/>
      <c r="F254" s="7" t="n"/>
      <c r="G254" s="7" t="n"/>
      <c r="H254" s="7" t="n"/>
      <c r="I254" s="7" t="n"/>
      <c r="J254" s="7" t="n"/>
      <c r="K254" s="7" t="n"/>
      <c r="L254" s="7">
        <f>IF(OR($I254="",$K254=""),"",$I254-$K254)</f>
        <v/>
      </c>
      <c r="M254" s="6" t="n"/>
    </row>
    <row r="255">
      <c r="A255" s="7">
        <f>IF($E255="","",ROW()-2)</f>
        <v/>
      </c>
      <c r="B255" s="7" t="n"/>
      <c r="C255" s="7">
        <f>IF($B255="","",IFERROR(VLOOKUP($B255,'בתים ומוצבים'!$A$3:$B$32,2,FALSE),""))</f>
        <v/>
      </c>
      <c r="D255" s="7" t="n"/>
      <c r="E255" s="6" t="n"/>
      <c r="F255" s="7" t="n"/>
      <c r="G255" s="7" t="n"/>
      <c r="H255" s="7" t="n"/>
      <c r="I255" s="7" t="n"/>
      <c r="J255" s="7" t="n"/>
      <c r="K255" s="7" t="n"/>
      <c r="L255" s="7">
        <f>IF(OR($I255="",$K255=""),"",$I255-$K255)</f>
        <v/>
      </c>
      <c r="M255" s="6" t="n"/>
    </row>
    <row r="256">
      <c r="A256" s="7">
        <f>IF($E256="","",ROW()-2)</f>
        <v/>
      </c>
      <c r="B256" s="7" t="n"/>
      <c r="C256" s="7">
        <f>IF($B256="","",IFERROR(VLOOKUP($B256,'בתים ומוצבים'!$A$3:$B$32,2,FALSE),""))</f>
        <v/>
      </c>
      <c r="D256" s="7" t="n"/>
      <c r="E256" s="6" t="n"/>
      <c r="F256" s="7" t="n"/>
      <c r="G256" s="7" t="n"/>
      <c r="H256" s="7" t="n"/>
      <c r="I256" s="7" t="n"/>
      <c r="J256" s="7" t="n"/>
      <c r="K256" s="7" t="n"/>
      <c r="L256" s="7">
        <f>IF(OR($I256="",$K256=""),"",$I256-$K256)</f>
        <v/>
      </c>
      <c r="M256" s="6" t="n"/>
    </row>
    <row r="257">
      <c r="A257" s="7">
        <f>IF($E257="","",ROW()-2)</f>
        <v/>
      </c>
      <c r="B257" s="7" t="n"/>
      <c r="C257" s="7">
        <f>IF($B257="","",IFERROR(VLOOKUP($B257,'בתים ומוצבים'!$A$3:$B$32,2,FALSE),""))</f>
        <v/>
      </c>
      <c r="D257" s="7" t="n"/>
      <c r="E257" s="6" t="n"/>
      <c r="F257" s="7" t="n"/>
      <c r="G257" s="7" t="n"/>
      <c r="H257" s="7" t="n"/>
      <c r="I257" s="7" t="n"/>
      <c r="J257" s="7" t="n"/>
      <c r="K257" s="7" t="n"/>
      <c r="L257" s="7">
        <f>IF(OR($I257="",$K257=""),"",$I257-$K257)</f>
        <v/>
      </c>
      <c r="M257" s="6" t="n"/>
    </row>
    <row r="258">
      <c r="A258" s="7">
        <f>IF($E258="","",ROW()-2)</f>
        <v/>
      </c>
      <c r="B258" s="7" t="n"/>
      <c r="C258" s="7">
        <f>IF($B258="","",IFERROR(VLOOKUP($B258,'בתים ומוצבים'!$A$3:$B$32,2,FALSE),""))</f>
        <v/>
      </c>
      <c r="D258" s="7" t="n"/>
      <c r="E258" s="6" t="n"/>
      <c r="F258" s="7" t="n"/>
      <c r="G258" s="7" t="n"/>
      <c r="H258" s="7" t="n"/>
      <c r="I258" s="7" t="n"/>
      <c r="J258" s="7" t="n"/>
      <c r="K258" s="7" t="n"/>
      <c r="L258" s="7">
        <f>IF(OR($I258="",$K258=""),"",$I258-$K258)</f>
        <v/>
      </c>
      <c r="M258" s="6" t="n"/>
    </row>
    <row r="259">
      <c r="A259" s="7">
        <f>IF($E259="","",ROW()-2)</f>
        <v/>
      </c>
      <c r="B259" s="7" t="n"/>
      <c r="C259" s="7">
        <f>IF($B259="","",IFERROR(VLOOKUP($B259,'בתים ומוצבים'!$A$3:$B$32,2,FALSE),""))</f>
        <v/>
      </c>
      <c r="D259" s="7" t="n"/>
      <c r="E259" s="6" t="n"/>
      <c r="F259" s="7" t="n"/>
      <c r="G259" s="7" t="n"/>
      <c r="H259" s="7" t="n"/>
      <c r="I259" s="7" t="n"/>
      <c r="J259" s="7" t="n"/>
      <c r="K259" s="7" t="n"/>
      <c r="L259" s="7">
        <f>IF(OR($I259="",$K259=""),"",$I259-$K259)</f>
        <v/>
      </c>
      <c r="M259" s="6" t="n"/>
    </row>
    <row r="260">
      <c r="A260" s="7">
        <f>IF($E260="","",ROW()-2)</f>
        <v/>
      </c>
      <c r="B260" s="7" t="n"/>
      <c r="C260" s="7">
        <f>IF($B260="","",IFERROR(VLOOKUP($B260,'בתים ומוצבים'!$A$3:$B$32,2,FALSE),""))</f>
        <v/>
      </c>
      <c r="D260" s="7" t="n"/>
      <c r="E260" s="6" t="n"/>
      <c r="F260" s="7" t="n"/>
      <c r="G260" s="7" t="n"/>
      <c r="H260" s="7" t="n"/>
      <c r="I260" s="7" t="n"/>
      <c r="J260" s="7" t="n"/>
      <c r="K260" s="7" t="n"/>
      <c r="L260" s="7">
        <f>IF(OR($I260="",$K260=""),"",$I260-$K260)</f>
        <v/>
      </c>
      <c r="M260" s="6" t="n"/>
    </row>
    <row r="261">
      <c r="A261" s="7">
        <f>IF($E261="","",ROW()-2)</f>
        <v/>
      </c>
      <c r="B261" s="7" t="n"/>
      <c r="C261" s="7">
        <f>IF($B261="","",IFERROR(VLOOKUP($B261,'בתים ומוצבים'!$A$3:$B$32,2,FALSE),""))</f>
        <v/>
      </c>
      <c r="D261" s="7" t="n"/>
      <c r="E261" s="6" t="n"/>
      <c r="F261" s="7" t="n"/>
      <c r="G261" s="7" t="n"/>
      <c r="H261" s="7" t="n"/>
      <c r="I261" s="7" t="n"/>
      <c r="J261" s="7" t="n"/>
      <c r="K261" s="7" t="n"/>
      <c r="L261" s="7">
        <f>IF(OR($I261="",$K261=""),"",$I261-$K261)</f>
        <v/>
      </c>
      <c r="M261" s="6" t="n"/>
    </row>
    <row r="262">
      <c r="A262" s="7">
        <f>IF($E262="","",ROW()-2)</f>
        <v/>
      </c>
      <c r="B262" s="7" t="n"/>
      <c r="C262" s="7">
        <f>IF($B262="","",IFERROR(VLOOKUP($B262,'בתים ומוצבים'!$A$3:$B$32,2,FALSE),""))</f>
        <v/>
      </c>
      <c r="D262" s="7" t="n"/>
      <c r="E262" s="6" t="n"/>
      <c r="F262" s="7" t="n"/>
      <c r="G262" s="7" t="n"/>
      <c r="H262" s="7" t="n"/>
      <c r="I262" s="7" t="n"/>
      <c r="J262" s="7" t="n"/>
      <c r="K262" s="7" t="n"/>
      <c r="L262" s="7">
        <f>IF(OR($I262="",$K262=""),"",$I262-$K262)</f>
        <v/>
      </c>
      <c r="M262" s="6" t="n"/>
    </row>
    <row r="263">
      <c r="A263" s="7">
        <f>IF($E263="","",ROW()-2)</f>
        <v/>
      </c>
      <c r="B263" s="7" t="n"/>
      <c r="C263" s="7">
        <f>IF($B263="","",IFERROR(VLOOKUP($B263,'בתים ומוצבים'!$A$3:$B$32,2,FALSE),""))</f>
        <v/>
      </c>
      <c r="D263" s="7" t="n"/>
      <c r="E263" s="6" t="n"/>
      <c r="F263" s="7" t="n"/>
      <c r="G263" s="7" t="n"/>
      <c r="H263" s="7" t="n"/>
      <c r="I263" s="7" t="n"/>
      <c r="J263" s="7" t="n"/>
      <c r="K263" s="7" t="n"/>
      <c r="L263" s="7">
        <f>IF(OR($I263="",$K263=""),"",$I263-$K263)</f>
        <v/>
      </c>
      <c r="M263" s="6" t="n"/>
    </row>
    <row r="264">
      <c r="A264" s="7">
        <f>IF($E264="","",ROW()-2)</f>
        <v/>
      </c>
      <c r="B264" s="7" t="n"/>
      <c r="C264" s="7">
        <f>IF($B264="","",IFERROR(VLOOKUP($B264,'בתים ומוצבים'!$A$3:$B$32,2,FALSE),""))</f>
        <v/>
      </c>
      <c r="D264" s="7" t="n"/>
      <c r="E264" s="6" t="n"/>
      <c r="F264" s="7" t="n"/>
      <c r="G264" s="7" t="n"/>
      <c r="H264" s="7" t="n"/>
      <c r="I264" s="7" t="n"/>
      <c r="J264" s="7" t="n"/>
      <c r="K264" s="7" t="n"/>
      <c r="L264" s="7">
        <f>IF(OR($I264="",$K264=""),"",$I264-$K264)</f>
        <v/>
      </c>
      <c r="M264" s="6" t="n"/>
    </row>
    <row r="265">
      <c r="A265" s="7">
        <f>IF($E265="","",ROW()-2)</f>
        <v/>
      </c>
      <c r="B265" s="7" t="n"/>
      <c r="C265" s="7">
        <f>IF($B265="","",IFERROR(VLOOKUP($B265,'בתים ומוצבים'!$A$3:$B$32,2,FALSE),""))</f>
        <v/>
      </c>
      <c r="D265" s="7" t="n"/>
      <c r="E265" s="6" t="n"/>
      <c r="F265" s="7" t="n"/>
      <c r="G265" s="7" t="n"/>
      <c r="H265" s="7" t="n"/>
      <c r="I265" s="7" t="n"/>
      <c r="J265" s="7" t="n"/>
      <c r="K265" s="7" t="n"/>
      <c r="L265" s="7">
        <f>IF(OR($I265="",$K265=""),"",$I265-$K265)</f>
        <v/>
      </c>
      <c r="M265" s="6" t="n"/>
    </row>
    <row r="266">
      <c r="A266" s="7">
        <f>IF($E266="","",ROW()-2)</f>
        <v/>
      </c>
      <c r="B266" s="7" t="n"/>
      <c r="C266" s="7">
        <f>IF($B266="","",IFERROR(VLOOKUP($B266,'בתים ומוצבים'!$A$3:$B$32,2,FALSE),""))</f>
        <v/>
      </c>
      <c r="D266" s="7" t="n"/>
      <c r="E266" s="6" t="n"/>
      <c r="F266" s="7" t="n"/>
      <c r="G266" s="7" t="n"/>
      <c r="H266" s="7" t="n"/>
      <c r="I266" s="7" t="n"/>
      <c r="J266" s="7" t="n"/>
      <c r="K266" s="7" t="n"/>
      <c r="L266" s="7">
        <f>IF(OR($I266="",$K266=""),"",$I266-$K266)</f>
        <v/>
      </c>
      <c r="M266" s="6" t="n"/>
    </row>
    <row r="267">
      <c r="A267" s="7">
        <f>IF($E267="","",ROW()-2)</f>
        <v/>
      </c>
      <c r="B267" s="7" t="n"/>
      <c r="C267" s="7">
        <f>IF($B267="","",IFERROR(VLOOKUP($B267,'בתים ומוצבים'!$A$3:$B$32,2,FALSE),""))</f>
        <v/>
      </c>
      <c r="D267" s="7" t="n"/>
      <c r="E267" s="6" t="n"/>
      <c r="F267" s="7" t="n"/>
      <c r="G267" s="7" t="n"/>
      <c r="H267" s="7" t="n"/>
      <c r="I267" s="7" t="n"/>
      <c r="J267" s="7" t="n"/>
      <c r="K267" s="7" t="n"/>
      <c r="L267" s="7">
        <f>IF(OR($I267="",$K267=""),"",$I267-$K267)</f>
        <v/>
      </c>
      <c r="M267" s="6" t="n"/>
    </row>
    <row r="268">
      <c r="A268" s="7">
        <f>IF($E268="","",ROW()-2)</f>
        <v/>
      </c>
      <c r="B268" s="7" t="n"/>
      <c r="C268" s="7">
        <f>IF($B268="","",IFERROR(VLOOKUP($B268,'בתים ומוצבים'!$A$3:$B$32,2,FALSE),""))</f>
        <v/>
      </c>
      <c r="D268" s="7" t="n"/>
      <c r="E268" s="6" t="n"/>
      <c r="F268" s="7" t="n"/>
      <c r="G268" s="7" t="n"/>
      <c r="H268" s="7" t="n"/>
      <c r="I268" s="7" t="n"/>
      <c r="J268" s="7" t="n"/>
      <c r="K268" s="7" t="n"/>
      <c r="L268" s="7">
        <f>IF(OR($I268="",$K268=""),"",$I268-$K268)</f>
        <v/>
      </c>
      <c r="M268" s="6" t="n"/>
    </row>
    <row r="269">
      <c r="A269" s="7">
        <f>IF($E269="","",ROW()-2)</f>
        <v/>
      </c>
      <c r="B269" s="7" t="n"/>
      <c r="C269" s="7">
        <f>IF($B269="","",IFERROR(VLOOKUP($B269,'בתים ומוצבים'!$A$3:$B$32,2,FALSE),""))</f>
        <v/>
      </c>
      <c r="D269" s="7" t="n"/>
      <c r="E269" s="6" t="n"/>
      <c r="F269" s="7" t="n"/>
      <c r="G269" s="7" t="n"/>
      <c r="H269" s="7" t="n"/>
      <c r="I269" s="7" t="n"/>
      <c r="J269" s="7" t="n"/>
      <c r="K269" s="7" t="n"/>
      <c r="L269" s="7">
        <f>IF(OR($I269="",$K269=""),"",$I269-$K269)</f>
        <v/>
      </c>
      <c r="M269" s="6" t="n"/>
    </row>
    <row r="270">
      <c r="A270" s="7">
        <f>IF($E270="","",ROW()-2)</f>
        <v/>
      </c>
      <c r="B270" s="7" t="n"/>
      <c r="C270" s="7">
        <f>IF($B270="","",IFERROR(VLOOKUP($B270,'בתים ומוצבים'!$A$3:$B$32,2,FALSE),""))</f>
        <v/>
      </c>
      <c r="D270" s="7" t="n"/>
      <c r="E270" s="6" t="n"/>
      <c r="F270" s="7" t="n"/>
      <c r="G270" s="7" t="n"/>
      <c r="H270" s="7" t="n"/>
      <c r="I270" s="7" t="n"/>
      <c r="J270" s="7" t="n"/>
      <c r="K270" s="7" t="n"/>
      <c r="L270" s="7">
        <f>IF(OR($I270="",$K270=""),"",$I270-$K270)</f>
        <v/>
      </c>
      <c r="M270" s="6" t="n"/>
    </row>
    <row r="271">
      <c r="A271" s="7">
        <f>IF($E271="","",ROW()-2)</f>
        <v/>
      </c>
      <c r="B271" s="7" t="n"/>
      <c r="C271" s="7">
        <f>IF($B271="","",IFERROR(VLOOKUP($B271,'בתים ומוצבים'!$A$3:$B$32,2,FALSE),""))</f>
        <v/>
      </c>
      <c r="D271" s="7" t="n"/>
      <c r="E271" s="6" t="n"/>
      <c r="F271" s="7" t="n"/>
      <c r="G271" s="7" t="n"/>
      <c r="H271" s="7" t="n"/>
      <c r="I271" s="7" t="n"/>
      <c r="J271" s="7" t="n"/>
      <c r="K271" s="7" t="n"/>
      <c r="L271" s="7">
        <f>IF(OR($I271="",$K271=""),"",$I271-$K271)</f>
        <v/>
      </c>
      <c r="M271" s="6" t="n"/>
    </row>
    <row r="272">
      <c r="A272" s="7">
        <f>IF($E272="","",ROW()-2)</f>
        <v/>
      </c>
      <c r="B272" s="7" t="n"/>
      <c r="C272" s="7">
        <f>IF($B272="","",IFERROR(VLOOKUP($B272,'בתים ומוצבים'!$A$3:$B$32,2,FALSE),""))</f>
        <v/>
      </c>
      <c r="D272" s="7" t="n"/>
      <c r="E272" s="6" t="n"/>
      <c r="F272" s="7" t="n"/>
      <c r="G272" s="7" t="n"/>
      <c r="H272" s="7" t="n"/>
      <c r="I272" s="7" t="n"/>
      <c r="J272" s="7" t="n"/>
      <c r="K272" s="7" t="n"/>
      <c r="L272" s="7">
        <f>IF(OR($I272="",$K272=""),"",$I272-$K272)</f>
        <v/>
      </c>
      <c r="M272" s="6" t="n"/>
    </row>
    <row r="273">
      <c r="A273" s="7">
        <f>IF($E273="","",ROW()-2)</f>
        <v/>
      </c>
      <c r="B273" s="7" t="n"/>
      <c r="C273" s="7">
        <f>IF($B273="","",IFERROR(VLOOKUP($B273,'בתים ומוצבים'!$A$3:$B$32,2,FALSE),""))</f>
        <v/>
      </c>
      <c r="D273" s="7" t="n"/>
      <c r="E273" s="6" t="n"/>
      <c r="F273" s="7" t="n"/>
      <c r="G273" s="7" t="n"/>
      <c r="H273" s="7" t="n"/>
      <c r="I273" s="7" t="n"/>
      <c r="J273" s="7" t="n"/>
      <c r="K273" s="7" t="n"/>
      <c r="L273" s="7">
        <f>IF(OR($I273="",$K273=""),"",$I273-$K273)</f>
        <v/>
      </c>
      <c r="M273" s="6" t="n"/>
    </row>
    <row r="274">
      <c r="A274" s="7">
        <f>IF($E274="","",ROW()-2)</f>
        <v/>
      </c>
      <c r="B274" s="7" t="n"/>
      <c r="C274" s="7">
        <f>IF($B274="","",IFERROR(VLOOKUP($B274,'בתים ומוצבים'!$A$3:$B$32,2,FALSE),""))</f>
        <v/>
      </c>
      <c r="D274" s="7" t="n"/>
      <c r="E274" s="6" t="n"/>
      <c r="F274" s="7" t="n"/>
      <c r="G274" s="7" t="n"/>
      <c r="H274" s="7" t="n"/>
      <c r="I274" s="7" t="n"/>
      <c r="J274" s="7" t="n"/>
      <c r="K274" s="7" t="n"/>
      <c r="L274" s="7">
        <f>IF(OR($I274="",$K274=""),"",$I274-$K274)</f>
        <v/>
      </c>
      <c r="M274" s="6" t="n"/>
    </row>
    <row r="275">
      <c r="A275" s="7">
        <f>IF($E275="","",ROW()-2)</f>
        <v/>
      </c>
      <c r="B275" s="7" t="n"/>
      <c r="C275" s="7">
        <f>IF($B275="","",IFERROR(VLOOKUP($B275,'בתים ומוצבים'!$A$3:$B$32,2,FALSE),""))</f>
        <v/>
      </c>
      <c r="D275" s="7" t="n"/>
      <c r="E275" s="6" t="n"/>
      <c r="F275" s="7" t="n"/>
      <c r="G275" s="7" t="n"/>
      <c r="H275" s="7" t="n"/>
      <c r="I275" s="7" t="n"/>
      <c r="J275" s="7" t="n"/>
      <c r="K275" s="7" t="n"/>
      <c r="L275" s="7">
        <f>IF(OR($I275="",$K275=""),"",$I275-$K275)</f>
        <v/>
      </c>
      <c r="M275" s="6" t="n"/>
    </row>
    <row r="276">
      <c r="A276" s="7">
        <f>IF($E276="","",ROW()-2)</f>
        <v/>
      </c>
      <c r="B276" s="7" t="n"/>
      <c r="C276" s="7">
        <f>IF($B276="","",IFERROR(VLOOKUP($B276,'בתים ומוצבים'!$A$3:$B$32,2,FALSE),""))</f>
        <v/>
      </c>
      <c r="D276" s="7" t="n"/>
      <c r="E276" s="6" t="n"/>
      <c r="F276" s="7" t="n"/>
      <c r="G276" s="7" t="n"/>
      <c r="H276" s="7" t="n"/>
      <c r="I276" s="7" t="n"/>
      <c r="J276" s="7" t="n"/>
      <c r="K276" s="7" t="n"/>
      <c r="L276" s="7">
        <f>IF(OR($I276="",$K276=""),"",$I276-$K276)</f>
        <v/>
      </c>
      <c r="M276" s="6" t="n"/>
    </row>
    <row r="277">
      <c r="A277" s="7">
        <f>IF($E277="","",ROW()-2)</f>
        <v/>
      </c>
      <c r="B277" s="7" t="n"/>
      <c r="C277" s="7">
        <f>IF($B277="","",IFERROR(VLOOKUP($B277,'בתים ומוצבים'!$A$3:$B$32,2,FALSE),""))</f>
        <v/>
      </c>
      <c r="D277" s="7" t="n"/>
      <c r="E277" s="6" t="n"/>
      <c r="F277" s="7" t="n"/>
      <c r="G277" s="7" t="n"/>
      <c r="H277" s="7" t="n"/>
      <c r="I277" s="7" t="n"/>
      <c r="J277" s="7" t="n"/>
      <c r="K277" s="7" t="n"/>
      <c r="L277" s="7">
        <f>IF(OR($I277="",$K277=""),"",$I277-$K277)</f>
        <v/>
      </c>
      <c r="M277" s="6" t="n"/>
    </row>
    <row r="278">
      <c r="A278" s="7">
        <f>IF($E278="","",ROW()-2)</f>
        <v/>
      </c>
      <c r="B278" s="7" t="n"/>
      <c r="C278" s="7">
        <f>IF($B278="","",IFERROR(VLOOKUP($B278,'בתים ומוצבים'!$A$3:$B$32,2,FALSE),""))</f>
        <v/>
      </c>
      <c r="D278" s="7" t="n"/>
      <c r="E278" s="6" t="n"/>
      <c r="F278" s="7" t="n"/>
      <c r="G278" s="7" t="n"/>
      <c r="H278" s="7" t="n"/>
      <c r="I278" s="7" t="n"/>
      <c r="J278" s="7" t="n"/>
      <c r="K278" s="7" t="n"/>
      <c r="L278" s="7">
        <f>IF(OR($I278="",$K278=""),"",$I278-$K278)</f>
        <v/>
      </c>
      <c r="M278" s="6" t="n"/>
    </row>
    <row r="279">
      <c r="A279" s="7">
        <f>IF($E279="","",ROW()-2)</f>
        <v/>
      </c>
      <c r="B279" s="7" t="n"/>
      <c r="C279" s="7">
        <f>IF($B279="","",IFERROR(VLOOKUP($B279,'בתים ומוצבים'!$A$3:$B$32,2,FALSE),""))</f>
        <v/>
      </c>
      <c r="D279" s="7" t="n"/>
      <c r="E279" s="6" t="n"/>
      <c r="F279" s="7" t="n"/>
      <c r="G279" s="7" t="n"/>
      <c r="H279" s="7" t="n"/>
      <c r="I279" s="7" t="n"/>
      <c r="J279" s="7" t="n"/>
      <c r="K279" s="7" t="n"/>
      <c r="L279" s="7">
        <f>IF(OR($I279="",$K279=""),"",$I279-$K279)</f>
        <v/>
      </c>
      <c r="M279" s="6" t="n"/>
    </row>
    <row r="280">
      <c r="A280" s="7">
        <f>IF($E280="","",ROW()-2)</f>
        <v/>
      </c>
      <c r="B280" s="7" t="n"/>
      <c r="C280" s="7">
        <f>IF($B280="","",IFERROR(VLOOKUP($B280,'בתים ומוצבים'!$A$3:$B$32,2,FALSE),""))</f>
        <v/>
      </c>
      <c r="D280" s="7" t="n"/>
      <c r="E280" s="6" t="n"/>
      <c r="F280" s="7" t="n"/>
      <c r="G280" s="7" t="n"/>
      <c r="H280" s="7" t="n"/>
      <c r="I280" s="7" t="n"/>
      <c r="J280" s="7" t="n"/>
      <c r="K280" s="7" t="n"/>
      <c r="L280" s="7">
        <f>IF(OR($I280="",$K280=""),"",$I280-$K280)</f>
        <v/>
      </c>
      <c r="M280" s="6" t="n"/>
    </row>
    <row r="281">
      <c r="A281" s="7">
        <f>IF($E281="","",ROW()-2)</f>
        <v/>
      </c>
      <c r="B281" s="7" t="n"/>
      <c r="C281" s="7">
        <f>IF($B281="","",IFERROR(VLOOKUP($B281,'בתים ומוצבים'!$A$3:$B$32,2,FALSE),""))</f>
        <v/>
      </c>
      <c r="D281" s="7" t="n"/>
      <c r="E281" s="6" t="n"/>
      <c r="F281" s="7" t="n"/>
      <c r="G281" s="7" t="n"/>
      <c r="H281" s="7" t="n"/>
      <c r="I281" s="7" t="n"/>
      <c r="J281" s="7" t="n"/>
      <c r="K281" s="7" t="n"/>
      <c r="L281" s="7">
        <f>IF(OR($I281="",$K281=""),"",$I281-$K281)</f>
        <v/>
      </c>
      <c r="M281" s="6" t="n"/>
    </row>
    <row r="282">
      <c r="A282" s="7">
        <f>IF($E282="","",ROW()-2)</f>
        <v/>
      </c>
      <c r="B282" s="7" t="n"/>
      <c r="C282" s="7">
        <f>IF($B282="","",IFERROR(VLOOKUP($B282,'בתים ומוצבים'!$A$3:$B$32,2,FALSE),""))</f>
        <v/>
      </c>
      <c r="D282" s="7" t="n"/>
      <c r="E282" s="6" t="n"/>
      <c r="F282" s="7" t="n"/>
      <c r="G282" s="7" t="n"/>
      <c r="H282" s="7" t="n"/>
      <c r="I282" s="7" t="n"/>
      <c r="J282" s="7" t="n"/>
      <c r="K282" s="7" t="n"/>
      <c r="L282" s="7">
        <f>IF(OR($I282="",$K282=""),"",$I282-$K282)</f>
        <v/>
      </c>
      <c r="M282" s="6" t="n"/>
    </row>
    <row r="283">
      <c r="A283" s="7">
        <f>IF($E283="","",ROW()-2)</f>
        <v/>
      </c>
      <c r="B283" s="7" t="n"/>
      <c r="C283" s="7">
        <f>IF($B283="","",IFERROR(VLOOKUP($B283,'בתים ומוצבים'!$A$3:$B$32,2,FALSE),""))</f>
        <v/>
      </c>
      <c r="D283" s="7" t="n"/>
      <c r="E283" s="6" t="n"/>
      <c r="F283" s="7" t="n"/>
      <c r="G283" s="7" t="n"/>
      <c r="H283" s="7" t="n"/>
      <c r="I283" s="7" t="n"/>
      <c r="J283" s="7" t="n"/>
      <c r="K283" s="7" t="n"/>
      <c r="L283" s="7">
        <f>IF(OR($I283="",$K283=""),"",$I283-$K283)</f>
        <v/>
      </c>
      <c r="M283" s="6" t="n"/>
    </row>
    <row r="284">
      <c r="A284" s="7">
        <f>IF($E284="","",ROW()-2)</f>
        <v/>
      </c>
      <c r="B284" s="7" t="n"/>
      <c r="C284" s="7">
        <f>IF($B284="","",IFERROR(VLOOKUP($B284,'בתים ומוצבים'!$A$3:$B$32,2,FALSE),""))</f>
        <v/>
      </c>
      <c r="D284" s="7" t="n"/>
      <c r="E284" s="6" t="n"/>
      <c r="F284" s="7" t="n"/>
      <c r="G284" s="7" t="n"/>
      <c r="H284" s="7" t="n"/>
      <c r="I284" s="7" t="n"/>
      <c r="J284" s="7" t="n"/>
      <c r="K284" s="7" t="n"/>
      <c r="L284" s="7">
        <f>IF(OR($I284="",$K284=""),"",$I284-$K284)</f>
        <v/>
      </c>
      <c r="M284" s="6" t="n"/>
    </row>
    <row r="285">
      <c r="A285" s="7">
        <f>IF($E285="","",ROW()-2)</f>
        <v/>
      </c>
      <c r="B285" s="7" t="n"/>
      <c r="C285" s="7">
        <f>IF($B285="","",IFERROR(VLOOKUP($B285,'בתים ומוצבים'!$A$3:$B$32,2,FALSE),""))</f>
        <v/>
      </c>
      <c r="D285" s="7" t="n"/>
      <c r="E285" s="6" t="n"/>
      <c r="F285" s="7" t="n"/>
      <c r="G285" s="7" t="n"/>
      <c r="H285" s="7" t="n"/>
      <c r="I285" s="7" t="n"/>
      <c r="J285" s="7" t="n"/>
      <c r="K285" s="7" t="n"/>
      <c r="L285" s="7">
        <f>IF(OR($I285="",$K285=""),"",$I285-$K285)</f>
        <v/>
      </c>
      <c r="M285" s="6" t="n"/>
    </row>
    <row r="286">
      <c r="A286" s="7">
        <f>IF($E286="","",ROW()-2)</f>
        <v/>
      </c>
      <c r="B286" s="7" t="n"/>
      <c r="C286" s="7">
        <f>IF($B286="","",IFERROR(VLOOKUP($B286,'בתים ומוצבים'!$A$3:$B$32,2,FALSE),""))</f>
        <v/>
      </c>
      <c r="D286" s="7" t="n"/>
      <c r="E286" s="6" t="n"/>
      <c r="F286" s="7" t="n"/>
      <c r="G286" s="7" t="n"/>
      <c r="H286" s="7" t="n"/>
      <c r="I286" s="7" t="n"/>
      <c r="J286" s="7" t="n"/>
      <c r="K286" s="7" t="n"/>
      <c r="L286" s="7">
        <f>IF(OR($I286="",$K286=""),"",$I286-$K286)</f>
        <v/>
      </c>
      <c r="M286" s="6" t="n"/>
    </row>
    <row r="287">
      <c r="A287" s="7">
        <f>IF($E287="","",ROW()-2)</f>
        <v/>
      </c>
      <c r="B287" s="7" t="n"/>
      <c r="C287" s="7">
        <f>IF($B287="","",IFERROR(VLOOKUP($B287,'בתים ומוצבים'!$A$3:$B$32,2,FALSE),""))</f>
        <v/>
      </c>
      <c r="D287" s="7" t="n"/>
      <c r="E287" s="6" t="n"/>
      <c r="F287" s="7" t="n"/>
      <c r="G287" s="7" t="n"/>
      <c r="H287" s="7" t="n"/>
      <c r="I287" s="7" t="n"/>
      <c r="J287" s="7" t="n"/>
      <c r="K287" s="7" t="n"/>
      <c r="L287" s="7">
        <f>IF(OR($I287="",$K287=""),"",$I287-$K287)</f>
        <v/>
      </c>
      <c r="M287" s="6" t="n"/>
    </row>
    <row r="288">
      <c r="A288" s="7">
        <f>IF($E288="","",ROW()-2)</f>
        <v/>
      </c>
      <c r="B288" s="7" t="n"/>
      <c r="C288" s="7">
        <f>IF($B288="","",IFERROR(VLOOKUP($B288,'בתים ומוצבים'!$A$3:$B$32,2,FALSE),""))</f>
        <v/>
      </c>
      <c r="D288" s="7" t="n"/>
      <c r="E288" s="6" t="n"/>
      <c r="F288" s="7" t="n"/>
      <c r="G288" s="7" t="n"/>
      <c r="H288" s="7" t="n"/>
      <c r="I288" s="7" t="n"/>
      <c r="J288" s="7" t="n"/>
      <c r="K288" s="7" t="n"/>
      <c r="L288" s="7">
        <f>IF(OR($I288="",$K288=""),"",$I288-$K288)</f>
        <v/>
      </c>
      <c r="M288" s="6" t="n"/>
    </row>
    <row r="289">
      <c r="A289" s="7">
        <f>IF($E289="","",ROW()-2)</f>
        <v/>
      </c>
      <c r="B289" s="7" t="n"/>
      <c r="C289" s="7">
        <f>IF($B289="","",IFERROR(VLOOKUP($B289,'בתים ומוצבים'!$A$3:$B$32,2,FALSE),""))</f>
        <v/>
      </c>
      <c r="D289" s="7" t="n"/>
      <c r="E289" s="6" t="n"/>
      <c r="F289" s="7" t="n"/>
      <c r="G289" s="7" t="n"/>
      <c r="H289" s="7" t="n"/>
      <c r="I289" s="7" t="n"/>
      <c r="J289" s="7" t="n"/>
      <c r="K289" s="7" t="n"/>
      <c r="L289" s="7">
        <f>IF(OR($I289="",$K289=""),"",$I289-$K289)</f>
        <v/>
      </c>
      <c r="M289" s="6" t="n"/>
    </row>
    <row r="290">
      <c r="A290" s="7">
        <f>IF($E290="","",ROW()-2)</f>
        <v/>
      </c>
      <c r="B290" s="7" t="n"/>
      <c r="C290" s="7">
        <f>IF($B290="","",IFERROR(VLOOKUP($B290,'בתים ומוצבים'!$A$3:$B$32,2,FALSE),""))</f>
        <v/>
      </c>
      <c r="D290" s="7" t="n"/>
      <c r="E290" s="6" t="n"/>
      <c r="F290" s="7" t="n"/>
      <c r="G290" s="7" t="n"/>
      <c r="H290" s="7" t="n"/>
      <c r="I290" s="7" t="n"/>
      <c r="J290" s="7" t="n"/>
      <c r="K290" s="7" t="n"/>
      <c r="L290" s="7">
        <f>IF(OR($I290="",$K290=""),"",$I290-$K290)</f>
        <v/>
      </c>
      <c r="M290" s="6" t="n"/>
    </row>
    <row r="291">
      <c r="A291" s="7">
        <f>IF($E291="","",ROW()-2)</f>
        <v/>
      </c>
      <c r="B291" s="7" t="n"/>
      <c r="C291" s="7">
        <f>IF($B291="","",IFERROR(VLOOKUP($B291,'בתים ומוצבים'!$A$3:$B$32,2,FALSE),""))</f>
        <v/>
      </c>
      <c r="D291" s="7" t="n"/>
      <c r="E291" s="6" t="n"/>
      <c r="F291" s="7" t="n"/>
      <c r="G291" s="7" t="n"/>
      <c r="H291" s="7" t="n"/>
      <c r="I291" s="7" t="n"/>
      <c r="J291" s="7" t="n"/>
      <c r="K291" s="7" t="n"/>
      <c r="L291" s="7">
        <f>IF(OR($I291="",$K291=""),"",$I291-$K291)</f>
        <v/>
      </c>
      <c r="M291" s="6" t="n"/>
    </row>
    <row r="292">
      <c r="A292" s="7">
        <f>IF($E292="","",ROW()-2)</f>
        <v/>
      </c>
      <c r="B292" s="7" t="n"/>
      <c r="C292" s="7">
        <f>IF($B292="","",IFERROR(VLOOKUP($B292,'בתים ומוצבים'!$A$3:$B$32,2,FALSE),""))</f>
        <v/>
      </c>
      <c r="D292" s="7" t="n"/>
      <c r="E292" s="6" t="n"/>
      <c r="F292" s="7" t="n"/>
      <c r="G292" s="7" t="n"/>
      <c r="H292" s="7" t="n"/>
      <c r="I292" s="7" t="n"/>
      <c r="J292" s="7" t="n"/>
      <c r="K292" s="7" t="n"/>
      <c r="L292" s="7">
        <f>IF(OR($I292="",$K292=""),"",$I292-$K292)</f>
        <v/>
      </c>
      <c r="M292" s="6" t="n"/>
    </row>
    <row r="293">
      <c r="A293" s="7">
        <f>IF($E293="","",ROW()-2)</f>
        <v/>
      </c>
      <c r="B293" s="7" t="n"/>
      <c r="C293" s="7">
        <f>IF($B293="","",IFERROR(VLOOKUP($B293,'בתים ומוצבים'!$A$3:$B$32,2,FALSE),""))</f>
        <v/>
      </c>
      <c r="D293" s="7" t="n"/>
      <c r="E293" s="6" t="n"/>
      <c r="F293" s="7" t="n"/>
      <c r="G293" s="7" t="n"/>
      <c r="H293" s="7" t="n"/>
      <c r="I293" s="7" t="n"/>
      <c r="J293" s="7" t="n"/>
      <c r="K293" s="7" t="n"/>
      <c r="L293" s="7">
        <f>IF(OR($I293="",$K293=""),"",$I293-$K293)</f>
        <v/>
      </c>
      <c r="M293" s="6" t="n"/>
    </row>
    <row r="294">
      <c r="A294" s="7">
        <f>IF($E294="","",ROW()-2)</f>
        <v/>
      </c>
      <c r="B294" s="7" t="n"/>
      <c r="C294" s="7">
        <f>IF($B294="","",IFERROR(VLOOKUP($B294,'בתים ומוצבים'!$A$3:$B$32,2,FALSE),""))</f>
        <v/>
      </c>
      <c r="D294" s="7" t="n"/>
      <c r="E294" s="6" t="n"/>
      <c r="F294" s="7" t="n"/>
      <c r="G294" s="7" t="n"/>
      <c r="H294" s="7" t="n"/>
      <c r="I294" s="7" t="n"/>
      <c r="J294" s="7" t="n"/>
      <c r="K294" s="7" t="n"/>
      <c r="L294" s="7">
        <f>IF(OR($I294="",$K294=""),"",$I294-$K294)</f>
        <v/>
      </c>
      <c r="M294" s="6" t="n"/>
    </row>
    <row r="295">
      <c r="A295" s="7">
        <f>IF($E295="","",ROW()-2)</f>
        <v/>
      </c>
      <c r="B295" s="7" t="n"/>
      <c r="C295" s="7">
        <f>IF($B295="","",IFERROR(VLOOKUP($B295,'בתים ומוצבים'!$A$3:$B$32,2,FALSE),""))</f>
        <v/>
      </c>
      <c r="D295" s="7" t="n"/>
      <c r="E295" s="6" t="n"/>
      <c r="F295" s="7" t="n"/>
      <c r="G295" s="7" t="n"/>
      <c r="H295" s="7" t="n"/>
      <c r="I295" s="7" t="n"/>
      <c r="J295" s="7" t="n"/>
      <c r="K295" s="7" t="n"/>
      <c r="L295" s="7">
        <f>IF(OR($I295="",$K295=""),"",$I295-$K295)</f>
        <v/>
      </c>
      <c r="M295" s="6" t="n"/>
    </row>
    <row r="296">
      <c r="A296" s="7">
        <f>IF($E296="","",ROW()-2)</f>
        <v/>
      </c>
      <c r="B296" s="7" t="n"/>
      <c r="C296" s="7">
        <f>IF($B296="","",IFERROR(VLOOKUP($B296,'בתים ומוצבים'!$A$3:$B$32,2,FALSE),""))</f>
        <v/>
      </c>
      <c r="D296" s="7" t="n"/>
      <c r="E296" s="6" t="n"/>
      <c r="F296" s="7" t="n"/>
      <c r="G296" s="7" t="n"/>
      <c r="H296" s="7" t="n"/>
      <c r="I296" s="7" t="n"/>
      <c r="J296" s="7" t="n"/>
      <c r="K296" s="7" t="n"/>
      <c r="L296" s="7">
        <f>IF(OR($I296="",$K296=""),"",$I296-$K296)</f>
        <v/>
      </c>
      <c r="M296" s="6" t="n"/>
    </row>
    <row r="297">
      <c r="A297" s="7">
        <f>IF($E297="","",ROW()-2)</f>
        <v/>
      </c>
      <c r="B297" s="7" t="n"/>
      <c r="C297" s="7">
        <f>IF($B297="","",IFERROR(VLOOKUP($B297,'בתים ומוצבים'!$A$3:$B$32,2,FALSE),""))</f>
        <v/>
      </c>
      <c r="D297" s="7" t="n"/>
      <c r="E297" s="6" t="n"/>
      <c r="F297" s="7" t="n"/>
      <c r="G297" s="7" t="n"/>
      <c r="H297" s="7" t="n"/>
      <c r="I297" s="7" t="n"/>
      <c r="J297" s="7" t="n"/>
      <c r="K297" s="7" t="n"/>
      <c r="L297" s="7">
        <f>IF(OR($I297="",$K297=""),"",$I297-$K297)</f>
        <v/>
      </c>
      <c r="M297" s="6" t="n"/>
    </row>
    <row r="298">
      <c r="A298" s="7">
        <f>IF($E298="","",ROW()-2)</f>
        <v/>
      </c>
      <c r="B298" s="7" t="n"/>
      <c r="C298" s="7">
        <f>IF($B298="","",IFERROR(VLOOKUP($B298,'בתים ומוצבים'!$A$3:$B$32,2,FALSE),""))</f>
        <v/>
      </c>
      <c r="D298" s="7" t="n"/>
      <c r="E298" s="6" t="n"/>
      <c r="F298" s="7" t="n"/>
      <c r="G298" s="7" t="n"/>
      <c r="H298" s="7" t="n"/>
      <c r="I298" s="7" t="n"/>
      <c r="J298" s="7" t="n"/>
      <c r="K298" s="7" t="n"/>
      <c r="L298" s="7">
        <f>IF(OR($I298="",$K298=""),"",$I298-$K298)</f>
        <v/>
      </c>
      <c r="M298" s="6" t="n"/>
    </row>
    <row r="299">
      <c r="A299" s="7">
        <f>IF($E299="","",ROW()-2)</f>
        <v/>
      </c>
      <c r="B299" s="7" t="n"/>
      <c r="C299" s="7">
        <f>IF($B299="","",IFERROR(VLOOKUP($B299,'בתים ומוצבים'!$A$3:$B$32,2,FALSE),""))</f>
        <v/>
      </c>
      <c r="D299" s="7" t="n"/>
      <c r="E299" s="6" t="n"/>
      <c r="F299" s="7" t="n"/>
      <c r="G299" s="7" t="n"/>
      <c r="H299" s="7" t="n"/>
      <c r="I299" s="7" t="n"/>
      <c r="J299" s="7" t="n"/>
      <c r="K299" s="7" t="n"/>
      <c r="L299" s="7">
        <f>IF(OR($I299="",$K299=""),"",$I299-$K299)</f>
        <v/>
      </c>
      <c r="M299" s="6" t="n"/>
    </row>
    <row r="300">
      <c r="A300" s="7">
        <f>IF($E300="","",ROW()-2)</f>
        <v/>
      </c>
      <c r="B300" s="7" t="n"/>
      <c r="C300" s="7">
        <f>IF($B300="","",IFERROR(VLOOKUP($B300,'בתים ומוצבים'!$A$3:$B$32,2,FALSE),""))</f>
        <v/>
      </c>
      <c r="D300" s="7" t="n"/>
      <c r="E300" s="6" t="n"/>
      <c r="F300" s="7" t="n"/>
      <c r="G300" s="7" t="n"/>
      <c r="H300" s="7" t="n"/>
      <c r="I300" s="7" t="n"/>
      <c r="J300" s="7" t="n"/>
      <c r="K300" s="7" t="n"/>
      <c r="L300" s="7">
        <f>IF(OR($I300="",$K300=""),"",$I300-$K300)</f>
        <v/>
      </c>
      <c r="M300" s="6" t="n"/>
    </row>
    <row r="301">
      <c r="A301" s="7">
        <f>IF($E301="","",ROW()-2)</f>
        <v/>
      </c>
      <c r="B301" s="7" t="n"/>
      <c r="C301" s="7">
        <f>IF($B301="","",IFERROR(VLOOKUP($B301,'בתים ומוצבים'!$A$3:$B$32,2,FALSE),""))</f>
        <v/>
      </c>
      <c r="D301" s="7" t="n"/>
      <c r="E301" s="6" t="n"/>
      <c r="F301" s="7" t="n"/>
      <c r="G301" s="7" t="n"/>
      <c r="H301" s="7" t="n"/>
      <c r="I301" s="7" t="n"/>
      <c r="J301" s="7" t="n"/>
      <c r="K301" s="7" t="n"/>
      <c r="L301" s="7">
        <f>IF(OR($I301="",$K301=""),"",$I301-$K301)</f>
        <v/>
      </c>
      <c r="M301" s="6" t="n"/>
    </row>
    <row r="302">
      <c r="A302" s="7">
        <f>IF($E302="","",ROW()-2)</f>
        <v/>
      </c>
      <c r="B302" s="7" t="n"/>
      <c r="C302" s="7">
        <f>IF($B302="","",IFERROR(VLOOKUP($B302,'בתים ומוצבים'!$A$3:$B$32,2,FALSE),""))</f>
        <v/>
      </c>
      <c r="D302" s="7" t="n"/>
      <c r="E302" s="6" t="n"/>
      <c r="F302" s="7" t="n"/>
      <c r="G302" s="7" t="n"/>
      <c r="H302" s="7" t="n"/>
      <c r="I302" s="7" t="n"/>
      <c r="J302" s="7" t="n"/>
      <c r="K302" s="7" t="n"/>
      <c r="L302" s="7">
        <f>IF(OR($I302="",$K302=""),"",$I302-$K302)</f>
        <v/>
      </c>
      <c r="M302" s="6" t="n"/>
    </row>
  </sheetData>
  <mergeCells count="1">
    <mergeCell ref="A1:M1"/>
  </mergeCells>
  <conditionalFormatting sqref="F3:F302">
    <cfRule type="cellIs" priority="1" operator="equal" dxfId="1">
      <formula>"כן"</formula>
    </cfRule>
  </conditionalFormatting>
  <conditionalFormatting sqref="G3:G302">
    <cfRule type="expression" priority="2" dxfId="2">
      <formula>AND($F3="כן",$G3="")</formula>
    </cfRule>
  </conditionalFormatting>
  <conditionalFormatting sqref="J3:J302">
    <cfRule type="cellIs" priority="3" operator="equal" dxfId="3">
      <formula>"תקין"</formula>
    </cfRule>
    <cfRule type="cellIs" priority="4" operator="equal" dxfId="1">
      <formula>"תקין חלקית"</formula>
    </cfRule>
    <cfRule type="cellIs" priority="5" operator="equal" dxfId="2">
      <formula>"תקול"</formula>
    </cfRule>
    <cfRule type="cellIs" priority="6" operator="equal" dxfId="2">
      <formula>"חסר"</formula>
    </cfRule>
  </conditionalFormatting>
  <conditionalFormatting sqref="L3:L302">
    <cfRule type="expression" priority="7" dxfId="0">
      <formula>AND($L3&lt;&gt;"",$L3&lt;&gt;0)</formula>
    </cfRule>
    <cfRule type="expression" priority="8" dxfId="3">
      <formula>AND($L3&lt;&gt;"",$L3=0)</formula>
    </cfRule>
  </conditionalFormatting>
  <dataValidations count="6">
    <dataValidation sqref="B3:B302" showDropDown="0" showInputMessage="0" showErrorMessage="0" allowBlank="1" type="list">
      <formula1>='בתים ומוצבים'!$A$3:$A$32</formula1>
    </dataValidation>
    <dataValidation sqref="C3:C302" showDropDown="0" showInputMessage="0" showErrorMessage="0" allowBlank="1" type="list">
      <formula1>='מקרא והוראות'!$C$20:$C$23</formula1>
    </dataValidation>
    <dataValidation sqref="D3:D302" showDropDown="0" showInputMessage="0" showErrorMessage="0" allowBlank="1" type="list">
      <formula1>='מקרא והוראות'!$A$20:$A$32</formula1>
    </dataValidation>
    <dataValidation sqref="F3:F302" showDropDown="0" showInputMessage="0" showErrorMessage="0" allowBlank="1" type="list">
      <formula1>"כן,לא"</formula1>
    </dataValidation>
    <dataValidation sqref="H3:H302" showDropDown="0" showInputMessage="0" showErrorMessage="0" allowBlank="1" type="list">
      <formula1>"חטיבתי,גדודי,אוגדתי,אחר"</formula1>
    </dataValidation>
    <dataValidation sqref="J3:J302" showDropDown="0" showInputMessage="0" showErrorMessage="0" allowBlank="1" type="list">
      <formula1>"תקין,תקין חלקית,תקול,חסר"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0" customWidth="1" min="3" max="3"/>
    <col width="15" customWidth="1" min="4" max="4"/>
    <col width="28" customWidth="1" min="5" max="5"/>
  </cols>
  <sheetData>
    <row r="1" ht="28" customHeight="1">
      <c r="A1" s="1" t="inlineStr">
        <is>
          <t>בתים ומוצבים בשתי הגזרות</t>
        </is>
      </c>
    </row>
    <row r="2">
      <c r="A2" s="3" t="inlineStr">
        <is>
          <t>בית / מוצב</t>
        </is>
      </c>
      <c r="B2" s="3" t="inlineStr">
        <is>
          <t>גדוד מוסר</t>
        </is>
      </c>
      <c r="C2" s="3" t="inlineStr">
        <is>
          <t>אחראי (גדוד מוסר)</t>
        </is>
      </c>
      <c r="D2" s="3" t="inlineStr">
        <is>
          <t>טלפון</t>
        </is>
      </c>
      <c r="E2" s="3" t="inlineStr">
        <is>
          <t>הערות</t>
        </is>
      </c>
    </row>
    <row r="3">
      <c r="A3" s="7" t="inlineStr">
        <is>
          <t>בית 1</t>
        </is>
      </c>
      <c r="B3" s="7" t="inlineStr">
        <is>
          <t>גדס"ר</t>
        </is>
      </c>
      <c r="C3" s="6" t="n"/>
      <c r="D3" s="6" t="n"/>
      <c r="E3" s="6" t="inlineStr">
        <is>
          <t>דוגמה – ערוך</t>
        </is>
      </c>
    </row>
    <row r="4">
      <c r="A4" s="7" t="inlineStr">
        <is>
          <t>בית 2</t>
        </is>
      </c>
      <c r="B4" s="7" t="inlineStr">
        <is>
          <t>גדס"ר</t>
        </is>
      </c>
      <c r="C4" s="6" t="n"/>
      <c r="D4" s="6" t="n"/>
      <c r="E4" s="6" t="inlineStr">
        <is>
          <t>דוגמה – ערוך</t>
        </is>
      </c>
    </row>
    <row r="5">
      <c r="A5" s="7" t="inlineStr">
        <is>
          <t>בית 3</t>
        </is>
      </c>
      <c r="B5" s="7" t="inlineStr">
        <is>
          <t>699</t>
        </is>
      </c>
      <c r="C5" s="6" t="n"/>
      <c r="D5" s="6" t="n"/>
      <c r="E5" s="6" t="inlineStr">
        <is>
          <t>דוגמה – ערוך</t>
        </is>
      </c>
    </row>
    <row r="6">
      <c r="A6" s="7" t="n"/>
      <c r="B6" s="7" t="n"/>
      <c r="C6" s="6" t="n"/>
      <c r="D6" s="6" t="n"/>
      <c r="E6" s="6" t="n"/>
    </row>
    <row r="7">
      <c r="A7" s="7" t="n"/>
      <c r="B7" s="7" t="n"/>
      <c r="C7" s="6" t="n"/>
      <c r="D7" s="6" t="n"/>
      <c r="E7" s="6" t="n"/>
    </row>
    <row r="8">
      <c r="A8" s="7" t="n"/>
      <c r="B8" s="7" t="n"/>
      <c r="C8" s="6" t="n"/>
      <c r="D8" s="6" t="n"/>
      <c r="E8" s="6" t="n"/>
    </row>
    <row r="9">
      <c r="A9" s="7" t="n"/>
      <c r="B9" s="7" t="n"/>
      <c r="C9" s="6" t="n"/>
      <c r="D9" s="6" t="n"/>
      <c r="E9" s="6" t="n"/>
    </row>
    <row r="10">
      <c r="A10" s="7" t="n"/>
      <c r="B10" s="7" t="n"/>
      <c r="C10" s="6" t="n"/>
      <c r="D10" s="6" t="n"/>
      <c r="E10" s="6" t="n"/>
    </row>
    <row r="11">
      <c r="A11" s="7" t="n"/>
      <c r="B11" s="7" t="n"/>
      <c r="C11" s="6" t="n"/>
      <c r="D11" s="6" t="n"/>
      <c r="E11" s="6" t="n"/>
    </row>
    <row r="12">
      <c r="A12" s="7" t="n"/>
      <c r="B12" s="7" t="n"/>
      <c r="C12" s="6" t="n"/>
      <c r="D12" s="6" t="n"/>
      <c r="E12" s="6" t="n"/>
    </row>
    <row r="13">
      <c r="A13" s="7" t="n"/>
      <c r="B13" s="7" t="n"/>
      <c r="C13" s="6" t="n"/>
      <c r="D13" s="6" t="n"/>
      <c r="E13" s="6" t="n"/>
    </row>
    <row r="14">
      <c r="A14" s="7" t="n"/>
      <c r="B14" s="7" t="n"/>
      <c r="C14" s="6" t="n"/>
      <c r="D14" s="6" t="n"/>
      <c r="E14" s="6" t="n"/>
    </row>
    <row r="15">
      <c r="A15" s="7" t="n"/>
      <c r="B15" s="7" t="n"/>
      <c r="C15" s="6" t="n"/>
      <c r="D15" s="6" t="n"/>
      <c r="E15" s="6" t="n"/>
    </row>
    <row r="16">
      <c r="A16" s="7" t="n"/>
      <c r="B16" s="7" t="n"/>
      <c r="C16" s="6" t="n"/>
      <c r="D16" s="6" t="n"/>
      <c r="E16" s="6" t="n"/>
    </row>
    <row r="17">
      <c r="A17" s="7" t="n"/>
      <c r="B17" s="7" t="n"/>
      <c r="C17" s="6" t="n"/>
      <c r="D17" s="6" t="n"/>
      <c r="E17" s="6" t="n"/>
    </row>
    <row r="18">
      <c r="A18" s="7" t="n"/>
      <c r="B18" s="7" t="n"/>
      <c r="C18" s="6" t="n"/>
      <c r="D18" s="6" t="n"/>
      <c r="E18" s="6" t="n"/>
    </row>
    <row r="19">
      <c r="A19" s="7" t="n"/>
      <c r="B19" s="7" t="n"/>
      <c r="C19" s="6" t="n"/>
      <c r="D19" s="6" t="n"/>
      <c r="E19" s="6" t="n"/>
    </row>
    <row r="20">
      <c r="A20" s="7" t="n"/>
      <c r="B20" s="7" t="n"/>
      <c r="C20" s="6" t="n"/>
      <c r="D20" s="6" t="n"/>
      <c r="E20" s="6" t="n"/>
    </row>
    <row r="21">
      <c r="A21" s="7" t="n"/>
      <c r="B21" s="7" t="n"/>
      <c r="C21" s="6" t="n"/>
      <c r="D21" s="6" t="n"/>
      <c r="E21" s="6" t="n"/>
    </row>
    <row r="22">
      <c r="A22" s="7" t="n"/>
      <c r="B22" s="7" t="n"/>
      <c r="C22" s="6" t="n"/>
      <c r="D22" s="6" t="n"/>
      <c r="E22" s="6" t="n"/>
    </row>
    <row r="23">
      <c r="A23" s="7" t="n"/>
      <c r="B23" s="7" t="n"/>
      <c r="C23" s="6" t="n"/>
      <c r="D23" s="6" t="n"/>
      <c r="E23" s="6" t="n"/>
    </row>
    <row r="24">
      <c r="A24" s="7" t="n"/>
      <c r="B24" s="7" t="n"/>
      <c r="C24" s="6" t="n"/>
      <c r="D24" s="6" t="n"/>
      <c r="E24" s="6" t="n"/>
    </row>
    <row r="25">
      <c r="A25" s="7" t="n"/>
      <c r="B25" s="7" t="n"/>
      <c r="C25" s="6" t="n"/>
      <c r="D25" s="6" t="n"/>
      <c r="E25" s="6" t="n"/>
    </row>
    <row r="26">
      <c r="A26" s="7" t="n"/>
      <c r="B26" s="7" t="n"/>
      <c r="C26" s="6" t="n"/>
      <c r="D26" s="6" t="n"/>
      <c r="E26" s="6" t="n"/>
    </row>
    <row r="27">
      <c r="A27" s="7" t="n"/>
      <c r="B27" s="7" t="n"/>
      <c r="C27" s="6" t="n"/>
      <c r="D27" s="6" t="n"/>
      <c r="E27" s="6" t="n"/>
    </row>
    <row r="28">
      <c r="A28" s="7" t="n"/>
      <c r="B28" s="7" t="n"/>
      <c r="C28" s="6" t="n"/>
      <c r="D28" s="6" t="n"/>
      <c r="E28" s="6" t="n"/>
    </row>
    <row r="29">
      <c r="A29" s="7" t="n"/>
      <c r="B29" s="7" t="n"/>
      <c r="C29" s="6" t="n"/>
      <c r="D29" s="6" t="n"/>
      <c r="E29" s="6" t="n"/>
    </row>
    <row r="30">
      <c r="A30" s="7" t="n"/>
      <c r="B30" s="7" t="n"/>
      <c r="C30" s="6" t="n"/>
      <c r="D30" s="6" t="n"/>
      <c r="E30" s="6" t="n"/>
    </row>
    <row r="31">
      <c r="A31" s="7" t="n"/>
      <c r="B31" s="7" t="n"/>
      <c r="C31" s="6" t="n"/>
      <c r="D31" s="6" t="n"/>
      <c r="E31" s="6" t="n"/>
    </row>
    <row r="32">
      <c r="A32" s="7" t="n"/>
      <c r="B32" s="7" t="n"/>
      <c r="C32" s="6" t="n"/>
      <c r="D32" s="6" t="n"/>
      <c r="E32" s="6" t="n"/>
    </row>
  </sheetData>
  <mergeCells count="1">
    <mergeCell ref="A1:E1"/>
  </mergeCells>
  <dataValidations count="1">
    <dataValidation sqref="B3:B32" showDropDown="0" showInputMessage="0" showErrorMessage="0" allowBlank="1" type="list">
      <formula1>='מקרא והוראות'!$C$20:$C$23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52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2" customWidth="1" min="4" max="4"/>
    <col width="12" customWidth="1" min="5" max="5"/>
    <col width="16" customWidth="1" min="6" max="6"/>
  </cols>
  <sheetData>
    <row r="1" ht="28" customHeight="1">
      <c r="A1" s="1" t="inlineStr">
        <is>
          <t>פרוטוקול העברת גזרה והחלפת חתימות</t>
        </is>
      </c>
    </row>
    <row r="3">
      <c r="A3" s="2" t="inlineStr">
        <is>
          <t>פרטי ההעברה</t>
        </is>
      </c>
    </row>
    <row r="4">
      <c r="A4" s="4" t="inlineStr">
        <is>
          <t>חטיבה</t>
        </is>
      </c>
      <c r="B4" s="11" t="n"/>
      <c r="C4" s="12" t="n"/>
    </row>
    <row r="5">
      <c r="A5" s="4" t="inlineStr">
        <is>
          <t>הגדוד הקולט</t>
        </is>
      </c>
      <c r="B5" s="11" t="n"/>
      <c r="C5" s="12" t="n"/>
    </row>
    <row r="6">
      <c r="A6" s="4" t="inlineStr">
        <is>
          <t>מפקד הגדוד הקולט</t>
        </is>
      </c>
      <c r="B6" s="11" t="n"/>
      <c r="C6" s="12" t="n"/>
    </row>
    <row r="7">
      <c r="A7" s="4" t="inlineStr">
        <is>
          <t>גזרת גדס"ר</t>
        </is>
      </c>
      <c r="B7" s="11" t="n"/>
      <c r="C7" s="12" t="n"/>
    </row>
    <row r="8">
      <c r="A8" s="4" t="inlineStr">
        <is>
          <t>גזרת 699</t>
        </is>
      </c>
      <c r="B8" s="11" t="n"/>
      <c r="C8" s="12" t="n"/>
    </row>
    <row r="9">
      <c r="A9" s="4" t="inlineStr">
        <is>
          <t>תאריך ההעברה</t>
        </is>
      </c>
      <c r="B9" s="11" t="n"/>
      <c r="C9" s="12" t="n"/>
    </row>
    <row r="11">
      <c r="A11" s="2" t="inlineStr">
        <is>
          <t>סיכום לפי גדוד מוסר (אוטומטי)</t>
        </is>
      </c>
    </row>
    <row r="12">
      <c r="A12" s="3" t="inlineStr">
        <is>
          <t>גדוד מוסר</t>
        </is>
      </c>
      <c r="B12" s="3" t="inlineStr">
        <is>
          <t>פריטים</t>
        </is>
      </c>
      <c r="C12" s="3" t="inlineStr">
        <is>
          <t>כמות</t>
        </is>
      </c>
      <c r="D12" s="3" t="inlineStr">
        <is>
          <t>פריטי צ׳</t>
        </is>
      </c>
      <c r="E12" s="3" t="inlineStr">
        <is>
          <t>פערים</t>
        </is>
      </c>
    </row>
    <row r="13">
      <c r="A13" s="6">
        <f>IF('מקרא והוראות'!$C$20="","",'מקרא והוראות'!$C$20)</f>
        <v/>
      </c>
      <c r="B13" s="7">
        <f>IF('מקרא והוראות'!$C$20="","",COUNTIF('רשימת ציוד'!$C$3:$C$302,'מקרא והוראות'!$C$20))</f>
        <v/>
      </c>
      <c r="C13" s="7">
        <f>IF('מקרא והוראות'!$C$20="","",SUMIF('רשימת ציוד'!$C$3:$C$302,'מקרא והוראות'!$C$20,'רשימת ציוד'!$I$3:$I$302))</f>
        <v/>
      </c>
      <c r="D13" s="7">
        <f>IF('מקרא והוראות'!$C$20="","",COUNTIFS('רשימת ציוד'!$C$3:$C$302,'מקרא והוראות'!$C$20,'רשימת ציוד'!$F$3:$F$302,"כן"))</f>
        <v/>
      </c>
      <c r="E13" s="7">
        <f>IF('מקרא והוראות'!$C$20="","",SUMPRODUCT(('רשימת ציוד'!$C$3:$C$302='מקרא והוראות'!$C$20)*('רשימת ציוד'!$L$3:$L$302&lt;&gt;"")*('רשימת ציוד'!$L$3:$L$302&lt;&gt;0)))</f>
        <v/>
      </c>
    </row>
    <row r="14">
      <c r="A14" s="6">
        <f>IF('מקרא והוראות'!$C$21="","",'מקרא והוראות'!$C$21)</f>
        <v/>
      </c>
      <c r="B14" s="7">
        <f>IF('מקרא והוראות'!$C$21="","",COUNTIF('רשימת ציוד'!$C$3:$C$302,'מקרא והוראות'!$C$21))</f>
        <v/>
      </c>
      <c r="C14" s="7">
        <f>IF('מקרא והוראות'!$C$21="","",SUMIF('רשימת ציוד'!$C$3:$C$302,'מקרא והוראות'!$C$21,'רשימת ציוד'!$I$3:$I$302))</f>
        <v/>
      </c>
      <c r="D14" s="7">
        <f>IF('מקרא והוראות'!$C$21="","",COUNTIFS('רשימת ציוד'!$C$3:$C$302,'מקרא והוראות'!$C$21,'רשימת ציוד'!$F$3:$F$302,"כן"))</f>
        <v/>
      </c>
      <c r="E14" s="7">
        <f>IF('מקרא והוראות'!$C$21="","",SUMPRODUCT(('רשימת ציוד'!$C$3:$C$302='מקרא והוראות'!$C$21)*('רשימת ציוד'!$L$3:$L$302&lt;&gt;"")*('רשימת ציוד'!$L$3:$L$302&lt;&gt;0)))</f>
        <v/>
      </c>
    </row>
    <row r="15">
      <c r="A15" s="6">
        <f>IF('מקרא והוראות'!$C$22="","",'מקרא והוראות'!$C$22)</f>
        <v/>
      </c>
      <c r="B15" s="7">
        <f>IF('מקרא והוראות'!$C$22="","",COUNTIF('רשימת ציוד'!$C$3:$C$302,'מקרא והוראות'!$C$22))</f>
        <v/>
      </c>
      <c r="C15" s="7">
        <f>IF('מקרא והוראות'!$C$22="","",SUMIF('רשימת ציוד'!$C$3:$C$302,'מקרא והוראות'!$C$22,'רשימת ציוד'!$I$3:$I$302))</f>
        <v/>
      </c>
      <c r="D15" s="7">
        <f>IF('מקרא והוראות'!$C$22="","",COUNTIFS('רשימת ציוד'!$C$3:$C$302,'מקרא והוראות'!$C$22,'רשימת ציוד'!$F$3:$F$302,"כן"))</f>
        <v/>
      </c>
      <c r="E15" s="7">
        <f>IF('מקרא והוראות'!$C$22="","",SUMPRODUCT(('רשימת ציוד'!$C$3:$C$302='מקרא והוראות'!$C$22)*('רשימת ציוד'!$L$3:$L$302&lt;&gt;"")*('רשימת ציוד'!$L$3:$L$302&lt;&gt;0)))</f>
        <v/>
      </c>
    </row>
    <row r="16">
      <c r="A16" s="6">
        <f>IF('מקרא והוראות'!$C$23="","",'מקרא והוראות'!$C$23)</f>
        <v/>
      </c>
      <c r="B16" s="7">
        <f>IF('מקרא והוראות'!$C$23="","",COUNTIF('רשימת ציוד'!$C$3:$C$302,'מקרא והוראות'!$C$23))</f>
        <v/>
      </c>
      <c r="C16" s="7">
        <f>IF('מקרא והוראות'!$C$23="","",SUMIF('רשימת ציוד'!$C$3:$C$302,'מקרא והוראות'!$C$23,'רשימת ציוד'!$I$3:$I$302))</f>
        <v/>
      </c>
      <c r="D16" s="7">
        <f>IF('מקרא והוראות'!$C$23="","",COUNTIFS('רשימת ציוד'!$C$3:$C$302,'מקרא והוראות'!$C$23,'רשימת ציוד'!$F$3:$F$302,"כן"))</f>
        <v/>
      </c>
      <c r="E16" s="7">
        <f>IF('מקרא והוראות'!$C$23="","",SUMPRODUCT(('רשימת ציוד'!$C$3:$C$302='מקרא והוראות'!$C$23)*('רשימת ציוד'!$L$3:$L$302&lt;&gt;"")*('רשימת ציוד'!$L$3:$L$302&lt;&gt;0)))</f>
        <v/>
      </c>
    </row>
    <row r="18">
      <c r="A18" s="2" t="inlineStr">
        <is>
          <t>סיכום לפי קטגוריה (אוטומטי)</t>
        </is>
      </c>
    </row>
    <row r="19">
      <c r="A19" s="3" t="inlineStr">
        <is>
          <t>קטגוריה</t>
        </is>
      </c>
      <c r="B19" s="3" t="inlineStr">
        <is>
          <t>פריטים</t>
        </is>
      </c>
      <c r="C19" s="3" t="inlineStr">
        <is>
          <t>כמות</t>
        </is>
      </c>
      <c r="D19" s="3" t="inlineStr">
        <is>
          <t>פריטי צ׳</t>
        </is>
      </c>
      <c r="E19" s="3" t="inlineStr">
        <is>
          <t>פערים</t>
        </is>
      </c>
    </row>
    <row r="20">
      <c r="A20" s="6" t="inlineStr">
        <is>
          <t>אמל"ח</t>
        </is>
      </c>
      <c r="B20" s="7">
        <f>COUNTIF('רשימת ציוד'!$D$3:$D$302,$A20)</f>
        <v/>
      </c>
      <c r="C20" s="7">
        <f>SUMIF('רשימת ציוד'!$D$3:$D$302,$A20,'רשימת ציוד'!$I$3:$I$302)</f>
        <v/>
      </c>
      <c r="D20" s="7">
        <f>COUNTIFS('רשימת ציוד'!$D$3:$D$302,$A20,'רשימת ציוד'!$F$3:$F$302,"כן")</f>
        <v/>
      </c>
      <c r="E20" s="7">
        <f>SUMPRODUCT(('רשימת ציוד'!$D$3:$D$302=$A20)*('רשימת ציוד'!$L$3:$L$302&lt;&gt;"")*('רשימת ציוד'!$L$3:$L$302&lt;&gt;0))</f>
        <v/>
      </c>
    </row>
    <row r="21">
      <c r="A21" s="6" t="inlineStr">
        <is>
          <t>תחמושת</t>
        </is>
      </c>
      <c r="B21" s="7">
        <f>COUNTIF('רשימת ציוד'!$D$3:$D$302,$A21)</f>
        <v/>
      </c>
      <c r="C21" s="7">
        <f>SUMIF('רשימת ציוד'!$D$3:$D$302,$A21,'רשימת ציוד'!$I$3:$I$302)</f>
        <v/>
      </c>
      <c r="D21" s="7">
        <f>COUNTIFS('רשימת ציוד'!$D$3:$D$302,$A21,'רשימת ציוד'!$F$3:$F$302,"כן")</f>
        <v/>
      </c>
      <c r="E21" s="7">
        <f>SUMPRODUCT(('רשימת ציוד'!$D$3:$D$302=$A21)*('רשימת ציוד'!$L$3:$L$302&lt;&gt;"")*('רשימת ציוד'!$L$3:$L$302&lt;&gt;0))</f>
        <v/>
      </c>
    </row>
    <row r="22">
      <c r="A22" s="6" t="inlineStr">
        <is>
          <t>אופטיקה ותצפית</t>
        </is>
      </c>
      <c r="B22" s="7">
        <f>COUNTIF('רשימת ציוד'!$D$3:$D$302,$A22)</f>
        <v/>
      </c>
      <c r="C22" s="7">
        <f>SUMIF('רשימת ציוד'!$D$3:$D$302,$A22,'רשימת ציוד'!$I$3:$I$302)</f>
        <v/>
      </c>
      <c r="D22" s="7">
        <f>COUNTIFS('רשימת ציוד'!$D$3:$D$302,$A22,'רשימת ציוד'!$F$3:$F$302,"כן")</f>
        <v/>
      </c>
      <c r="E22" s="7">
        <f>SUMPRODUCT(('רשימת ציוד'!$D$3:$D$302=$A22)*('רשימת ציוד'!$L$3:$L$302&lt;&gt;"")*('רשימת ציוד'!$L$3:$L$302&lt;&gt;0))</f>
        <v/>
      </c>
    </row>
    <row r="23">
      <c r="A23" s="6" t="inlineStr">
        <is>
          <t>קשר ומחשוב</t>
        </is>
      </c>
      <c r="B23" s="7">
        <f>COUNTIF('רשימת ציוד'!$D$3:$D$302,$A23)</f>
        <v/>
      </c>
      <c r="C23" s="7">
        <f>SUMIF('רשימת ציוד'!$D$3:$D$302,$A23,'רשימת ציוד'!$I$3:$I$302)</f>
        <v/>
      </c>
      <c r="D23" s="7">
        <f>COUNTIFS('רשימת ציוד'!$D$3:$D$302,$A23,'רשימת ציוד'!$F$3:$F$302,"כן")</f>
        <v/>
      </c>
      <c r="E23" s="7">
        <f>SUMPRODUCT(('רשימת ציוד'!$D$3:$D$302=$A23)*('רשימת ציוד'!$L$3:$L$302&lt;&gt;"")*('רשימת ציוד'!$L$3:$L$302&lt;&gt;0))</f>
        <v/>
      </c>
    </row>
    <row r="24">
      <c r="A24" s="6" t="inlineStr">
        <is>
          <t>רחפנים</t>
        </is>
      </c>
      <c r="B24" s="7">
        <f>COUNTIF('רשימת ציוד'!$D$3:$D$302,$A24)</f>
        <v/>
      </c>
      <c r="C24" s="7">
        <f>SUMIF('רשימת ציוד'!$D$3:$D$302,$A24,'רשימת ציוד'!$I$3:$I$302)</f>
        <v/>
      </c>
      <c r="D24" s="7">
        <f>COUNTIFS('רשימת ציוד'!$D$3:$D$302,$A24,'רשימת ציוד'!$F$3:$F$302,"כן")</f>
        <v/>
      </c>
      <c r="E24" s="7">
        <f>SUMPRODUCT(('רשימת ציוד'!$D$3:$D$302=$A24)*('רשימת ציוד'!$L$3:$L$302&lt;&gt;"")*('רשימת ציוד'!$L$3:$L$302&lt;&gt;0))</f>
        <v/>
      </c>
    </row>
    <row r="25">
      <c r="A25" s="6" t="inlineStr">
        <is>
          <t>מיגון</t>
        </is>
      </c>
      <c r="B25" s="7">
        <f>COUNTIF('רשימת ציוד'!$D$3:$D$302,$A25)</f>
        <v/>
      </c>
      <c r="C25" s="7">
        <f>SUMIF('רשימת ציוד'!$D$3:$D$302,$A25,'רשימת ציוד'!$I$3:$I$302)</f>
        <v/>
      </c>
      <c r="D25" s="7">
        <f>COUNTIFS('רשימת ציוד'!$D$3:$D$302,$A25,'רשימת ציוד'!$F$3:$F$302,"כן")</f>
        <v/>
      </c>
      <c r="E25" s="7">
        <f>SUMPRODUCT(('רשימת ציוד'!$D$3:$D$302=$A25)*('רשימת ציוד'!$L$3:$L$302&lt;&gt;"")*('רשימת ציוד'!$L$3:$L$302&lt;&gt;0))</f>
        <v/>
      </c>
    </row>
    <row r="26">
      <c r="A26" s="6" t="inlineStr">
        <is>
          <t>ציוד רפואי</t>
        </is>
      </c>
      <c r="B26" s="7">
        <f>COUNTIF('רשימת ציוד'!$D$3:$D$302,$A26)</f>
        <v/>
      </c>
      <c r="C26" s="7">
        <f>SUMIF('רשימת ציוד'!$D$3:$D$302,$A26,'רשימת ציוד'!$I$3:$I$302)</f>
        <v/>
      </c>
      <c r="D26" s="7">
        <f>COUNTIFS('רשימת ציוד'!$D$3:$D$302,$A26,'רשימת ציוד'!$F$3:$F$302,"כן")</f>
        <v/>
      </c>
      <c r="E26" s="7">
        <f>SUMPRODUCT(('רשימת ציוד'!$D$3:$D$302=$A26)*('רשימת ציוד'!$L$3:$L$302&lt;&gt;"")*('רשימת ציוד'!$L$3:$L$302&lt;&gt;0))</f>
        <v/>
      </c>
    </row>
    <row r="27">
      <c r="A27" s="6" t="inlineStr">
        <is>
          <t>לוגיסטיקה ומגורים</t>
        </is>
      </c>
      <c r="B27" s="7">
        <f>COUNTIF('רשימת ציוד'!$D$3:$D$302,$A27)</f>
        <v/>
      </c>
      <c r="C27" s="7">
        <f>SUMIF('רשימת ציוד'!$D$3:$D$302,$A27,'רשימת ציוד'!$I$3:$I$302)</f>
        <v/>
      </c>
      <c r="D27" s="7">
        <f>COUNTIFS('רשימת ציוד'!$D$3:$D$302,$A27,'רשימת ציוד'!$F$3:$F$302,"כן")</f>
        <v/>
      </c>
      <c r="E27" s="7">
        <f>SUMPRODUCT(('רשימת ציוד'!$D$3:$D$302=$A27)*('רשימת ציוד'!$L$3:$L$302&lt;&gt;"")*('רשימת ציוד'!$L$3:$L$302&lt;&gt;0))</f>
        <v/>
      </c>
    </row>
    <row r="28">
      <c r="A28" s="6" t="inlineStr">
        <is>
          <t>מטבח ומזון</t>
        </is>
      </c>
      <c r="B28" s="7">
        <f>COUNTIF('רשימת ציוד'!$D$3:$D$302,$A28)</f>
        <v/>
      </c>
      <c r="C28" s="7">
        <f>SUMIF('רשימת ציוד'!$D$3:$D$302,$A28,'רשימת ציוד'!$I$3:$I$302)</f>
        <v/>
      </c>
      <c r="D28" s="7">
        <f>COUNTIFS('רשימת ציוד'!$D$3:$D$302,$A28,'רשימת ציוד'!$F$3:$F$302,"כן")</f>
        <v/>
      </c>
      <c r="E28" s="7">
        <f>SUMPRODUCT(('רשימת ציוד'!$D$3:$D$302=$A28)*('רשימת ציוד'!$L$3:$L$302&lt;&gt;"")*('רשימת ציוד'!$L$3:$L$302&lt;&gt;0))</f>
        <v/>
      </c>
    </row>
    <row r="29">
      <c r="A29" s="6" t="inlineStr">
        <is>
          <t>גנרטורים וחשמל</t>
        </is>
      </c>
      <c r="B29" s="7">
        <f>COUNTIF('רשימת ציוד'!$D$3:$D$302,$A29)</f>
        <v/>
      </c>
      <c r="C29" s="7">
        <f>SUMIF('רשימת ציוד'!$D$3:$D$302,$A29,'רשימת ציוד'!$I$3:$I$302)</f>
        <v/>
      </c>
      <c r="D29" s="7">
        <f>COUNTIFS('רשימת ציוד'!$D$3:$D$302,$A29,'רשימת ציוד'!$F$3:$F$302,"כן")</f>
        <v/>
      </c>
      <c r="E29" s="7">
        <f>SUMPRODUCT(('רשימת ציוד'!$D$3:$D$302=$A29)*('רשימת ציוד'!$L$3:$L$302&lt;&gt;"")*('רשימת ציוד'!$L$3:$L$302&lt;&gt;0))</f>
        <v/>
      </c>
    </row>
    <row r="30">
      <c r="A30" s="6" t="inlineStr">
        <is>
          <t>תשתיות ומבנה</t>
        </is>
      </c>
      <c r="B30" s="7">
        <f>COUNTIF('רשימת ציוד'!$D$3:$D$302,$A30)</f>
        <v/>
      </c>
      <c r="C30" s="7">
        <f>SUMIF('רשימת ציוד'!$D$3:$D$302,$A30,'רשימת ציוד'!$I$3:$I$302)</f>
        <v/>
      </c>
      <c r="D30" s="7">
        <f>COUNTIFS('רשימת ציוד'!$D$3:$D$302,$A30,'רשימת ציוד'!$F$3:$F$302,"כן")</f>
        <v/>
      </c>
      <c r="E30" s="7">
        <f>SUMPRODUCT(('רשימת ציוד'!$D$3:$D$302=$A30)*('רשימת ציוד'!$L$3:$L$302&lt;&gt;"")*('רשימת ציוד'!$L$3:$L$302&lt;&gt;0))</f>
        <v/>
      </c>
    </row>
    <row r="31">
      <c r="A31" s="6" t="inlineStr">
        <is>
          <t>כיבוי אש ובטיחות</t>
        </is>
      </c>
      <c r="B31" s="7">
        <f>COUNTIF('רשימת ציוד'!$D$3:$D$302,$A31)</f>
        <v/>
      </c>
      <c r="C31" s="7">
        <f>SUMIF('רשימת ציוד'!$D$3:$D$302,$A31,'רשימת ציוד'!$I$3:$I$302)</f>
        <v/>
      </c>
      <c r="D31" s="7">
        <f>COUNTIFS('רשימת ציוד'!$D$3:$D$302,$A31,'רשימת ציוד'!$F$3:$F$302,"כן")</f>
        <v/>
      </c>
      <c r="E31" s="7">
        <f>SUMPRODUCT(('רשימת ציוד'!$D$3:$D$302=$A31)*('רשימת ציוד'!$L$3:$L$302&lt;&gt;"")*('רשימת ציוד'!$L$3:$L$302&lt;&gt;0))</f>
        <v/>
      </c>
    </row>
    <row r="32">
      <c r="A32" s="6" t="inlineStr">
        <is>
          <t>אחר</t>
        </is>
      </c>
      <c r="B32" s="7">
        <f>COUNTIF('רשימת ציוד'!$D$3:$D$302,$A32)</f>
        <v/>
      </c>
      <c r="C32" s="7">
        <f>SUMIF('רשימת ציוד'!$D$3:$D$302,$A32,'רשימת ציוד'!$I$3:$I$302)</f>
        <v/>
      </c>
      <c r="D32" s="7">
        <f>COUNTIFS('רשימת ציוד'!$D$3:$D$302,$A32,'רשימת ציוד'!$F$3:$F$302,"כן")</f>
        <v/>
      </c>
      <c r="E32" s="7">
        <f>SUMPRODUCT(('רשימת ציוד'!$D$3:$D$302=$A32)*('רשימת ציוד'!$L$3:$L$302&lt;&gt;"")*('רשימת ציוד'!$L$3:$L$302&lt;&gt;0))</f>
        <v/>
      </c>
    </row>
    <row r="33">
      <c r="A33" s="10" t="inlineStr">
        <is>
          <t>סה"כ</t>
        </is>
      </c>
      <c r="B33" s="10">
        <f>SUM(B20:B32)</f>
        <v/>
      </c>
      <c r="C33" s="10">
        <f>SUM(C20:C32)</f>
        <v/>
      </c>
      <c r="D33" s="10">
        <f>SUM(D20:D32)</f>
        <v/>
      </c>
      <c r="E33" s="10">
        <f>SUM(E20:E32)</f>
        <v/>
      </c>
    </row>
    <row r="35">
      <c r="A35" s="2" t="inlineStr">
        <is>
          <t>הצהרה</t>
        </is>
      </c>
    </row>
    <row r="36">
      <c r="A36" s="13" t="inlineStr">
        <is>
          <t>אנו החתומים מטה מאשרים כי:</t>
        </is>
      </c>
    </row>
    <row r="37">
      <c r="A37" s="13" t="inlineStr">
        <is>
          <t>1. הציוד המפורט בגיליון 'רשימת ציוד' נספר ונבדק במעמד נציגי הגדודים המוסרים והגדוד הקולט.</t>
        </is>
      </c>
    </row>
    <row r="38">
      <c r="A38" s="13" t="inlineStr">
        <is>
          <t>2. הגדוד הקולט מאשר את קבלת הציוד בכמויות ובמצב כמפורט, למעט הפערים שצוינו.</t>
        </is>
      </c>
    </row>
    <row r="39">
      <c r="A39" s="13" t="inlineStr">
        <is>
          <t>3. פערים שנרשמו יתועדו ויטופלו מול החטיבה.</t>
        </is>
      </c>
    </row>
    <row r="40">
      <c r="A40" s="13" t="inlineStr">
        <is>
          <t>4. האחריות על הציוד, לרבות פריטי הצ׳, עוברת לגדוד הקולט מרגע החתימה.</t>
        </is>
      </c>
    </row>
    <row r="42">
      <c r="A42" s="2" t="inlineStr">
        <is>
          <t>חתימות</t>
        </is>
      </c>
    </row>
    <row r="43">
      <c r="A43" s="3" t="inlineStr">
        <is>
          <t>תפקיד</t>
        </is>
      </c>
      <c r="B43" s="3" t="inlineStr">
        <is>
          <t>שם מלא</t>
        </is>
      </c>
      <c r="C43" s="3" t="inlineStr">
        <is>
          <t>דרגה</t>
        </is>
      </c>
      <c r="D43" s="3" t="inlineStr">
        <is>
          <t>מס׳ אישי</t>
        </is>
      </c>
      <c r="E43" s="3" t="inlineStr">
        <is>
          <t>תאריך</t>
        </is>
      </c>
      <c r="F43" s="3" t="inlineStr">
        <is>
          <t>חתימה</t>
        </is>
      </c>
    </row>
    <row r="44" ht="24" customHeight="1">
      <c r="A44" s="4" t="inlineStr">
        <is>
          <t>גדס"ר – מפקד</t>
        </is>
      </c>
      <c r="B44" s="12" t="n"/>
      <c r="C44" s="12" t="n"/>
      <c r="D44" s="12" t="n"/>
      <c r="E44" s="12" t="n"/>
      <c r="F44" s="12" t="n"/>
    </row>
    <row r="45" ht="24" customHeight="1">
      <c r="A45" s="4" t="inlineStr">
        <is>
          <t>גדס"ר – קצין לוגיסטיקה / אפסנאי</t>
        </is>
      </c>
      <c r="B45" s="12" t="n"/>
      <c r="C45" s="12" t="n"/>
      <c r="D45" s="12" t="n"/>
      <c r="E45" s="12" t="n"/>
      <c r="F45" s="12" t="n"/>
    </row>
    <row r="46" ht="24" customHeight="1">
      <c r="A46" s="4" t="inlineStr">
        <is>
          <t>699 – מפקד</t>
        </is>
      </c>
      <c r="B46" s="12" t="n"/>
      <c r="C46" s="12" t="n"/>
      <c r="D46" s="12" t="n"/>
      <c r="E46" s="12" t="n"/>
      <c r="F46" s="12" t="n"/>
    </row>
    <row r="47" ht="24" customHeight="1">
      <c r="A47" s="4" t="inlineStr">
        <is>
          <t>699 – קצין לוגיסטיקה / אפסנאי</t>
        </is>
      </c>
      <c r="B47" s="12" t="n"/>
      <c r="C47" s="12" t="n"/>
      <c r="D47" s="12" t="n"/>
      <c r="E47" s="12" t="n"/>
      <c r="F47" s="12" t="n"/>
    </row>
    <row r="48" ht="24" customHeight="1">
      <c r="A48" s="4" t="inlineStr">
        <is>
          <t>הגדוד הקולט – מפקד</t>
        </is>
      </c>
      <c r="B48" s="12" t="n"/>
      <c r="C48" s="12" t="n"/>
      <c r="D48" s="12" t="n"/>
      <c r="E48" s="12" t="n"/>
      <c r="F48" s="12" t="n"/>
    </row>
    <row r="49" ht="24" customHeight="1">
      <c r="A49" s="4" t="inlineStr">
        <is>
          <t>הגדוד הקולט – קצין לוגיסטיקה / אפסנאי</t>
        </is>
      </c>
      <c r="B49" s="12" t="n"/>
      <c r="C49" s="12" t="n"/>
      <c r="D49" s="12" t="n"/>
      <c r="E49" s="12" t="n"/>
      <c r="F49" s="12" t="n"/>
    </row>
    <row r="50" ht="24" customHeight="1">
      <c r="A50" s="4" t="inlineStr">
        <is>
          <t>נציג חטיבה</t>
        </is>
      </c>
      <c r="B50" s="12" t="n"/>
      <c r="C50" s="12" t="n"/>
      <c r="D50" s="12" t="n"/>
      <c r="E50" s="12" t="n"/>
      <c r="F50" s="12" t="n"/>
    </row>
    <row r="52">
      <c r="A52" s="13" t="inlineStr">
        <is>
          <t>* מומלץ להדפיס עותק לכל גדוד מוסר + עותק לגדוד הקולט.</t>
        </is>
      </c>
    </row>
  </sheetData>
  <mergeCells count="13">
    <mergeCell ref="A38:F38"/>
    <mergeCell ref="B6:C6"/>
    <mergeCell ref="A52:F52"/>
    <mergeCell ref="B7:C7"/>
    <mergeCell ref="A36:F36"/>
    <mergeCell ref="B5:C5"/>
    <mergeCell ref="A1:F1"/>
    <mergeCell ref="A37:F37"/>
    <mergeCell ref="A40:F40"/>
    <mergeCell ref="B9:C9"/>
    <mergeCell ref="B8:C8"/>
    <mergeCell ref="B4:C4"/>
    <mergeCell ref="A39:F39"/>
  </mergeCells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7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8" customHeight="1">
      <c r="A1" s="1" t="inlineStr">
        <is>
          <t>מקרא והוראות מילוי</t>
        </is>
      </c>
    </row>
    <row r="3">
      <c r="A3" s="2" t="inlineStr">
        <is>
          <t>סדר הפעולות:</t>
        </is>
      </c>
    </row>
    <row r="4">
      <c r="A4" s="13" t="inlineStr">
        <is>
          <t>1. עדכן בגיליון זה את שמות הגדודים המוסרים (עמודת 'גדודים מוסרים' למטה).</t>
        </is>
      </c>
    </row>
    <row r="5">
      <c r="A5" s="13" t="inlineStr">
        <is>
          <t>2. הגדודים המוסרים ממלאים את 'בתים ומוצבים' – כל בית משויך לגדוד המוסר שלו.</t>
        </is>
      </c>
    </row>
    <row r="6">
      <c r="A6" s="13" t="inlineStr">
        <is>
          <t>3. ממלאים את 'רשימת ציוד' – שורה לכל פריט: בית, קטגוריה, שם הפריט,</t>
        </is>
      </c>
    </row>
    <row r="7">
      <c r="A7" s="13" t="inlineStr">
        <is>
          <t xml:space="preserve">    האם פריט צ׳ (ואם כן – מספר הצ׳), מקור הציוד (חטיבתי/גדודי), כמות ומצב.</t>
        </is>
      </c>
    </row>
    <row r="8">
      <c r="A8" s="13" t="inlineStr">
        <is>
          <t xml:space="preserve">    עמודת 'גדוד מוסר' מתמלאת אוטומטית לפי הבית (ואפשר גם לבחור ידנית).</t>
        </is>
      </c>
    </row>
    <row r="9">
      <c r="A9" s="13" t="inlineStr">
        <is>
          <t>4. במעמד ההחלפה: נציג הגדוד הקולט סופר את הציוד וממלא 'כמות שנבדקה' –</t>
        </is>
      </c>
    </row>
    <row r="10">
      <c r="A10" s="13" t="inlineStr">
        <is>
          <t xml:space="preserve">    עמודת הפער מחושבת אוטומטית ונצבעת באדום כשיש אי-התאמה.</t>
        </is>
      </c>
    </row>
    <row r="11">
      <c r="A11" s="13" t="inlineStr">
        <is>
          <t>5. פריט צ׳ ללא מספר צ׳ נצבע באדום – חובה להשלים לפני חתימה.</t>
        </is>
      </c>
    </row>
    <row r="12">
      <c r="A12" s="13" t="inlineStr">
        <is>
          <t>6. בודקים את גיליון 'סקירה' – פערים לפי גדוד מוסר, תקולים ושורות שטרם נבדקו.</t>
        </is>
      </c>
    </row>
    <row r="13">
      <c r="A13" s="13" t="inlineStr">
        <is>
          <t>7. ממלאים את פרטי ההעברה וחותמים בגיליון 'סיכום וחתימות'</t>
        </is>
      </c>
    </row>
    <row r="14">
      <c r="A14" s="13" t="inlineStr">
        <is>
          <t xml:space="preserve">    (להדפיס עותק לכל גדוד מוסר + עותק לגדוד הקולט).</t>
        </is>
      </c>
    </row>
    <row r="15">
      <c r="A15" s="13" t="inlineStr"/>
    </row>
    <row r="16">
      <c r="A16" s="13" t="inlineStr">
        <is>
          <t>שורות הדוגמה ברשימת הציוד ובבתים מסומנות 'דוגמה' – מחק/ערוך אותן.</t>
        </is>
      </c>
    </row>
    <row r="19">
      <c r="A19" s="14" t="inlineStr">
        <is>
          <t>קטגוריות (רשימה נפתחת):</t>
        </is>
      </c>
      <c r="C19" s="14" t="inlineStr">
        <is>
          <t>גדודים מוסרים (רשימה נפתחת):</t>
        </is>
      </c>
    </row>
    <row r="20">
      <c r="A20" s="6" t="inlineStr">
        <is>
          <t>אמל"ח</t>
        </is>
      </c>
      <c r="C20" s="7" t="inlineStr">
        <is>
          <t>גדס"ר</t>
        </is>
      </c>
    </row>
    <row r="21">
      <c r="A21" s="6" t="inlineStr">
        <is>
          <t>תחמושת</t>
        </is>
      </c>
      <c r="C21" s="7" t="inlineStr">
        <is>
          <t>699</t>
        </is>
      </c>
    </row>
    <row r="22">
      <c r="A22" s="6" t="inlineStr">
        <is>
          <t>אופטיקה ותצפית</t>
        </is>
      </c>
      <c r="C22" s="7" t="n"/>
    </row>
    <row r="23">
      <c r="A23" s="6" t="inlineStr">
        <is>
          <t>קשר ומחשוב</t>
        </is>
      </c>
      <c r="C23" s="7" t="n"/>
    </row>
    <row r="24">
      <c r="A24" s="6" t="inlineStr">
        <is>
          <t>רחפנים</t>
        </is>
      </c>
    </row>
    <row r="25">
      <c r="A25" s="6" t="inlineStr">
        <is>
          <t>מיגון</t>
        </is>
      </c>
    </row>
    <row r="26">
      <c r="A26" s="6" t="inlineStr">
        <is>
          <t>ציוד רפואי</t>
        </is>
      </c>
    </row>
    <row r="27">
      <c r="A27" s="6" t="inlineStr">
        <is>
          <t>לוגיסטיקה ומגורים</t>
        </is>
      </c>
    </row>
    <row r="28">
      <c r="A28" s="6" t="inlineStr">
        <is>
          <t>מטבח ומזון</t>
        </is>
      </c>
    </row>
    <row r="29">
      <c r="A29" s="6" t="inlineStr">
        <is>
          <t>גנרטורים וחשמל</t>
        </is>
      </c>
    </row>
    <row r="30">
      <c r="A30" s="6" t="inlineStr">
        <is>
          <t>תשתיות ומבנה</t>
        </is>
      </c>
    </row>
    <row r="31">
      <c r="A31" s="6" t="inlineStr">
        <is>
          <t>כיבוי אש ובטיחות</t>
        </is>
      </c>
    </row>
    <row r="32">
      <c r="A32" s="6" t="inlineStr">
        <is>
          <t>אחר</t>
        </is>
      </c>
    </row>
    <row r="34">
      <c r="A34" s="14" t="inlineStr">
        <is>
          <t>צבעים:</t>
        </is>
      </c>
    </row>
    <row r="35">
      <c r="A35" s="15" t="n"/>
      <c r="B35" s="13" t="inlineStr">
        <is>
          <t>פריט צ׳</t>
        </is>
      </c>
    </row>
    <row r="36">
      <c r="A36" s="16" t="n"/>
      <c r="B36" s="13" t="inlineStr">
        <is>
          <t>תקין / נבדק ללא פער</t>
        </is>
      </c>
    </row>
    <row r="37">
      <c r="A37" s="17" t="n"/>
      <c r="B37" s="13" t="inlineStr">
        <is>
          <t>תקול / חסר / פער / צ׳ בלי מספר</t>
        </is>
      </c>
    </row>
  </sheetData>
  <mergeCells count="14">
    <mergeCell ref="A12:E12"/>
    <mergeCell ref="A4:E4"/>
    <mergeCell ref="A16:E16"/>
    <mergeCell ref="A14:E14"/>
    <mergeCell ref="A7:E7"/>
    <mergeCell ref="A10:E10"/>
    <mergeCell ref="A15:E15"/>
    <mergeCell ref="A11:E11"/>
    <mergeCell ref="A1:E1"/>
    <mergeCell ref="A5:E5"/>
    <mergeCell ref="A13:E13"/>
    <mergeCell ref="A8:E8"/>
    <mergeCell ref="A6:E6"/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2026-07-03T14:05:10Z</dcterms:created>
  <dcterms:modified xsi:type="dcterms:W3CDTF">2026-07-03T14:05:10Z</dcterms:modified>
</cp:coreProperties>
</file>