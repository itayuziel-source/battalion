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שבורד" sheetId="1" state="visible" r:id="rId1"/>
    <sheet name="טבלת ניהול" sheetId="2" state="visible" r:id="rId2"/>
    <sheet name="סיכום קטגוריה" sheetId="3" state="visible" r:id="rId3"/>
    <sheet name="פילוח פלוגה" sheetId="4" state="visible" r:id="rId4"/>
    <sheet name="מקרא והוראות" sheetId="5" state="visible" r:id="rId5"/>
    <sheet name="רשימות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  <font>
      <b val="1"/>
      <color rgb="00FFFFFF"/>
      <sz val="20"/>
    </font>
    <font>
      <i val="1"/>
      <color rgb="00595959"/>
      <sz val="10"/>
    </font>
    <font>
      <b val="1"/>
      <color rgb="008EAADB"/>
      <sz val="22"/>
    </font>
    <font>
      <b val="1"/>
      <color rgb="00C00000"/>
      <sz val="22"/>
    </font>
    <font>
      <b val="1"/>
      <color rgb="00BF8F00"/>
      <sz val="22"/>
    </font>
    <font>
      <b val="1"/>
      <color rgb="00375623"/>
      <sz val="22"/>
    </font>
    <font>
      <b val="1"/>
      <color rgb="00808080"/>
      <sz val="22"/>
    </font>
    <font>
      <b val="1"/>
      <color rgb="00FFFFFF"/>
      <sz val="12"/>
    </font>
    <font>
      <b val="1"/>
      <color rgb="00C00000"/>
    </font>
    <font>
      <b val="1"/>
      <color rgb="00BF8F00"/>
    </font>
    <font>
      <b val="1"/>
      <color rgb="00FFFFFF"/>
      <sz val="13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EAADB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375623"/>
      </patternFill>
    </fill>
    <fill>
      <patternFill patternType="solid">
        <fgColor rgb="0080808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right" vertical="center" indent="1"/>
    </xf>
    <xf numFmtId="0" fontId="11" fillId="6" borderId="0" applyAlignment="1" pivotButton="0" quotePrefix="0" xfId="0">
      <alignment horizontal="right" vertical="center" inden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 wrapText="1"/>
    </xf>
    <xf numFmtId="9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right" vertical="center" wrapText="1"/>
    </xf>
    <xf numFmtId="0" fontId="15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 wrapText="1"/>
    </xf>
    <xf numFmtId="0" fontId="3" fillId="9" borderId="2" applyAlignment="1" pivotButton="0" quotePrefix="0" xfId="0">
      <alignment horizontal="right" vertical="center" wrapText="1"/>
    </xf>
    <xf numFmtId="0" fontId="3" fillId="10" borderId="2" applyAlignment="1" pivotButton="0" quotePrefix="0" xfId="0">
      <alignment horizontal="right" vertical="center" wrapText="1"/>
    </xf>
    <xf numFmtId="0" fontId="3" fillId="12" borderId="2" applyAlignment="1" pivotButton="0" quotePrefix="0" xfId="0">
      <alignment horizontal="right" vertical="center" wrapText="1"/>
    </xf>
    <xf numFmtId="0" fontId="3" fillId="13" borderId="2" applyAlignment="1" pivotButton="0" quotePrefix="0" xfId="0">
      <alignment horizontal="right" vertical="center" wrapText="1"/>
    </xf>
  </cellXfs>
  <cellStyles count="1">
    <cellStyle name="Normal" xfId="0" builtinId="0" hidden="0"/>
  </cellStyles>
  <dxfs count="8">
    <dxf>
      <fill>
        <patternFill patternType="solid">
          <fgColor rgb="00FCE4E6"/>
        </patternFill>
      </fill>
    </dxf>
    <dxf>
      <fill>
        <patternFill patternType="solid">
          <fgColor rgb="00FFF6DA"/>
        </patternFill>
      </fill>
    </dxf>
    <dxf>
      <fill>
        <patternFill patternType="solid">
          <fgColor rgb="00EBF4E6"/>
        </patternFill>
      </fill>
    </dxf>
    <dxf>
      <fill>
        <patternFill patternType="solid">
          <fgColor rgb="00F2F2F2"/>
        </patternFill>
      </fill>
    </dxf>
    <dxf>
      <font>
        <b val="1"/>
        <color rgb="00C00000"/>
      </font>
      <fill>
        <patternFill patternType="solid">
          <fgColor rgb="00FFC7CE"/>
        </patternFill>
      </fill>
    </dxf>
    <dxf>
      <font>
        <b val="1"/>
        <color rgb="00BF8F00"/>
      </font>
      <fill>
        <patternFill patternType="solid">
          <fgColor rgb="00FFEB9C"/>
        </patternFill>
      </fill>
    </dxf>
    <dxf>
      <font>
        <b val="1"/>
        <color rgb="00375623"/>
      </font>
      <fill>
        <patternFill patternType="solid">
          <fgColor rgb="00C6EFCE"/>
        </patternFill>
      </fill>
    </dxf>
    <dxf>
      <font>
        <b val="1"/>
        <color rgb="00808080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hidden="1" width="13" customWidth="1" min="20" max="20"/>
  </cols>
  <sheetData>
    <row r="1" ht="40" customHeight="1">
      <c r="A1" s="1" t="inlineStr">
        <is>
          <t>עוצמה גדודית — לוח בקרה חי</t>
        </is>
      </c>
    </row>
    <row r="2">
      <c r="A2" s="2" t="inlineStr">
        <is>
          <t>מחושב אוטומטית מלשונית "טבלת ניהול" (טווחים רגילים, תואם Google Sheets)</t>
        </is>
      </c>
      <c r="T2">
        <f>IFERROR(SMALL('טבלת ניהול'!$Q$3:$Q$400,1),"")</f>
        <v/>
      </c>
    </row>
    <row r="3">
      <c r="T3">
        <f>IFERROR(SMALL('טבלת ניהול'!$Q$3:$Q$400,2),"")</f>
        <v/>
      </c>
    </row>
    <row r="4" ht="24" customHeight="1">
      <c r="A4" s="3" t="inlineStr">
        <is>
          <t>סך פריטים</t>
        </is>
      </c>
      <c r="B4" s="4" t="inlineStr">
        <is>
          <t>חוסרים</t>
        </is>
      </c>
      <c r="C4" s="5" t="inlineStr">
        <is>
          <t>עודפים</t>
        </is>
      </c>
      <c r="D4" s="6" t="inlineStr">
        <is>
          <t>תקין</t>
        </is>
      </c>
      <c r="E4" s="7" t="inlineStr">
        <is>
          <t>ללא מצאי</t>
        </is>
      </c>
      <c r="F4" s="4" t="inlineStr">
        <is>
          <t>יח' חסרות</t>
        </is>
      </c>
      <c r="G4" s="5" t="inlineStr">
        <is>
          <t>יח' עודפות</t>
        </is>
      </c>
      <c r="T4">
        <f>IFERROR(SMALL('טבלת ניהול'!$Q$3:$Q$400,3),"")</f>
        <v/>
      </c>
    </row>
    <row r="5" ht="30" customHeight="1">
      <c r="A5" s="8">
        <f>COUNTA('טבלת ניהול'!$B$3:$B$400)</f>
        <v/>
      </c>
      <c r="B5" s="9">
        <f>COUNTIF('טבלת ניהול'!$O$3:$O$400,"חוסר")</f>
        <v/>
      </c>
      <c r="C5" s="10">
        <f>COUNTIF('טבלת ניהול'!$O$3:$O$400,"עודף")</f>
        <v/>
      </c>
      <c r="D5" s="11">
        <f>COUNTIF('טבלת ניהול'!$O$3:$O$400,"תקין")</f>
        <v/>
      </c>
      <c r="E5" s="12">
        <f>COUNTIF('טבלת ניהול'!$O$3:$O$400,"אין מצאי")</f>
        <v/>
      </c>
      <c r="F5" s="9">
        <f>-SUMIF('טבלת ניהול'!$M$3:$M$400,"&lt;0")</f>
        <v/>
      </c>
      <c r="G5" s="10">
        <f>SUMIF('טבלת ניהול'!$M$3:$M$400,"&gt;0")</f>
        <v/>
      </c>
      <c r="T5">
        <f>IFERROR(SMALL('טבלת ניהול'!$Q$3:$Q$400,4),"")</f>
        <v/>
      </c>
    </row>
    <row r="6" ht="16" customHeight="1">
      <c r="T6">
        <f>IFERROR(SMALL('טבלת ניהול'!$Q$3:$Q$400,5),"")</f>
        <v/>
      </c>
    </row>
    <row r="7">
      <c r="T7">
        <f>IFERROR(SMALL('טבלת ניהול'!$Q$3:$Q$400,6),"")</f>
        <v/>
      </c>
    </row>
    <row r="8" ht="24" customHeight="1">
      <c r="A8" s="13" t="inlineStr">
        <is>
          <t>חוסרים מובילים (מתעדכן)</t>
        </is>
      </c>
      <c r="E8" s="14" t="inlineStr">
        <is>
          <t>עודפים מובילים (מתעדכן)</t>
        </is>
      </c>
      <c r="T8">
        <f>IFERROR(SMALL('טבלת ניהול'!$Q$3:$Q$400,7),"")</f>
        <v/>
      </c>
    </row>
    <row r="9">
      <c r="A9" s="15" t="inlineStr">
        <is>
          <t>אמצעי</t>
        </is>
      </c>
      <c r="B9" s="15" t="inlineStr">
        <is>
          <t>סך הכל</t>
        </is>
      </c>
      <c r="C9" s="15" t="inlineStr">
        <is>
          <t>מצאי</t>
        </is>
      </c>
      <c r="D9" s="15" t="inlineStr">
        <is>
          <t>פער</t>
        </is>
      </c>
      <c r="E9" s="15" t="inlineStr">
        <is>
          <t>אמצעי</t>
        </is>
      </c>
      <c r="F9" s="15" t="inlineStr">
        <is>
          <t>סך הכל</t>
        </is>
      </c>
      <c r="G9" s="15" t="inlineStr">
        <is>
          <t>מצאי</t>
        </is>
      </c>
      <c r="H9" s="15" t="inlineStr">
        <is>
          <t>פער</t>
        </is>
      </c>
      <c r="T9">
        <f>IFERROR(SMALL('טבלת ניהול'!$Q$3:$Q$400,8),"")</f>
        <v/>
      </c>
    </row>
    <row r="10">
      <c r="A10" s="16">
        <f>IFERROR(INDEX('טבלת ניהול'!$B$3:$B$400,MATCH($T$2,'טבלת ניהול'!$Q$3:$Q$400,0)),"")</f>
        <v/>
      </c>
      <c r="B10" s="17">
        <f>IFERROR(INDEX('טבלת ניהול'!$K$3:$K$400,MATCH($T$2,'טבלת ניהול'!$Q$3:$Q$400,0)),"")</f>
        <v/>
      </c>
      <c r="C10" s="17">
        <f>IFERROR(INDEX('טבלת ניהול'!$L$3:$L$400,MATCH($T$2,'טבלת ניהול'!$Q$3:$Q$400,0)),"")</f>
        <v/>
      </c>
      <c r="D10" s="18">
        <f>IFERROR(INDEX('טבלת ניהול'!$M$3:$M$400,MATCH($T$2,'טבלת ניהול'!$Q$3:$Q$400,0)),"")</f>
        <v/>
      </c>
      <c r="E10" s="16">
        <f>IFERROR(INDEX('טבלת ניהול'!$B$3:$B$400,MATCH($T$20,'טבלת ניהול'!$Q$3:$Q$400,0)),"")</f>
        <v/>
      </c>
      <c r="F10" s="17">
        <f>IFERROR(INDEX('טבלת ניהול'!$K$3:$K$400,MATCH($T$20,'טבלת ניהול'!$Q$3:$Q$400,0)),"")</f>
        <v/>
      </c>
      <c r="G10" s="17">
        <f>IFERROR(INDEX('טבלת ניהול'!$L$3:$L$400,MATCH($T$20,'טבלת ניהול'!$Q$3:$Q$400,0)),"")</f>
        <v/>
      </c>
      <c r="H10" s="19">
        <f>IFERROR(INDEX('טבלת ניהול'!$M$3:$M$400,MATCH($T$20,'טבלת ניהול'!$Q$3:$Q$400,0)),"")</f>
        <v/>
      </c>
      <c r="T10">
        <f>IFERROR(SMALL('טבלת ניהול'!$Q$3:$Q$400,9),"")</f>
        <v/>
      </c>
    </row>
    <row r="11">
      <c r="A11" s="16">
        <f>IFERROR(INDEX('טבלת ניהול'!$B$3:$B$400,MATCH($T$3,'טבלת ניהול'!$Q$3:$Q$400,0)),"")</f>
        <v/>
      </c>
      <c r="B11" s="17">
        <f>IFERROR(INDEX('טבלת ניהול'!$K$3:$K$400,MATCH($T$3,'טבלת ניהול'!$Q$3:$Q$400,0)),"")</f>
        <v/>
      </c>
      <c r="C11" s="17">
        <f>IFERROR(INDEX('טבלת ניהול'!$L$3:$L$400,MATCH($T$3,'טבלת ניהול'!$Q$3:$Q$400,0)),"")</f>
        <v/>
      </c>
      <c r="D11" s="18">
        <f>IFERROR(INDEX('טבלת ניהול'!$M$3:$M$400,MATCH($T$3,'טבלת ניהול'!$Q$3:$Q$400,0)),"")</f>
        <v/>
      </c>
      <c r="E11" s="16">
        <f>IFERROR(INDEX('טבלת ניהול'!$B$3:$B$400,MATCH($T$21,'טבלת ניהול'!$Q$3:$Q$400,0)),"")</f>
        <v/>
      </c>
      <c r="F11" s="17">
        <f>IFERROR(INDEX('טבלת ניהול'!$K$3:$K$400,MATCH($T$21,'טבלת ניהול'!$Q$3:$Q$400,0)),"")</f>
        <v/>
      </c>
      <c r="G11" s="17">
        <f>IFERROR(INDEX('טבלת ניהול'!$L$3:$L$400,MATCH($T$21,'טבלת ניהול'!$Q$3:$Q$400,0)),"")</f>
        <v/>
      </c>
      <c r="H11" s="19">
        <f>IFERROR(INDEX('טבלת ניהול'!$M$3:$M$400,MATCH($T$21,'טבלת ניהול'!$Q$3:$Q$400,0)),"")</f>
        <v/>
      </c>
      <c r="T11">
        <f>IFERROR(SMALL('טבלת ניהול'!$Q$3:$Q$400,10),"")</f>
        <v/>
      </c>
    </row>
    <row r="12">
      <c r="A12" s="16">
        <f>IFERROR(INDEX('טבלת ניהול'!$B$3:$B$400,MATCH($T$4,'טבלת ניהול'!$Q$3:$Q$400,0)),"")</f>
        <v/>
      </c>
      <c r="B12" s="17">
        <f>IFERROR(INDEX('טבלת ניהול'!$K$3:$K$400,MATCH($T$4,'טבלת ניהול'!$Q$3:$Q$400,0)),"")</f>
        <v/>
      </c>
      <c r="C12" s="17">
        <f>IFERROR(INDEX('טבלת ניהול'!$L$3:$L$400,MATCH($T$4,'טבלת ניהול'!$Q$3:$Q$400,0)),"")</f>
        <v/>
      </c>
      <c r="D12" s="18">
        <f>IFERROR(INDEX('טבלת ניהול'!$M$3:$M$400,MATCH($T$4,'טבלת ניהול'!$Q$3:$Q$400,0)),"")</f>
        <v/>
      </c>
      <c r="E12" s="16">
        <f>IFERROR(INDEX('טבלת ניהול'!$B$3:$B$400,MATCH($T$22,'טבלת ניהול'!$Q$3:$Q$400,0)),"")</f>
        <v/>
      </c>
      <c r="F12" s="17">
        <f>IFERROR(INDEX('טבלת ניהול'!$K$3:$K$400,MATCH($T$22,'טבלת ניהול'!$Q$3:$Q$400,0)),"")</f>
        <v/>
      </c>
      <c r="G12" s="17">
        <f>IFERROR(INDEX('טבלת ניהול'!$L$3:$L$400,MATCH($T$22,'טבלת ניהול'!$Q$3:$Q$400,0)),"")</f>
        <v/>
      </c>
      <c r="H12" s="19">
        <f>IFERROR(INDEX('טבלת ניהול'!$M$3:$M$400,MATCH($T$22,'טבלת ניהול'!$Q$3:$Q$400,0)),"")</f>
        <v/>
      </c>
      <c r="T12">
        <f>IFERROR(SMALL('טבלת ניהול'!$Q$3:$Q$400,11),"")</f>
        <v/>
      </c>
    </row>
    <row r="13">
      <c r="A13" s="16">
        <f>IFERROR(INDEX('טבלת ניהול'!$B$3:$B$400,MATCH($T$5,'טבלת ניהול'!$Q$3:$Q$400,0)),"")</f>
        <v/>
      </c>
      <c r="B13" s="17">
        <f>IFERROR(INDEX('טבלת ניהול'!$K$3:$K$400,MATCH($T$5,'טבלת ניהול'!$Q$3:$Q$400,0)),"")</f>
        <v/>
      </c>
      <c r="C13" s="17">
        <f>IFERROR(INDEX('טבלת ניהול'!$L$3:$L$400,MATCH($T$5,'טבלת ניהול'!$Q$3:$Q$400,0)),"")</f>
        <v/>
      </c>
      <c r="D13" s="18">
        <f>IFERROR(INDEX('טבלת ניהול'!$M$3:$M$400,MATCH($T$5,'טבלת ניהול'!$Q$3:$Q$400,0)),"")</f>
        <v/>
      </c>
      <c r="E13" s="16">
        <f>IFERROR(INDEX('טבלת ניהול'!$B$3:$B$400,MATCH($T$23,'טבלת ניהול'!$Q$3:$Q$400,0)),"")</f>
        <v/>
      </c>
      <c r="F13" s="17">
        <f>IFERROR(INDEX('טבלת ניהול'!$K$3:$K$400,MATCH($T$23,'טבלת ניהול'!$Q$3:$Q$400,0)),"")</f>
        <v/>
      </c>
      <c r="G13" s="17">
        <f>IFERROR(INDEX('טבלת ניהול'!$L$3:$L$400,MATCH($T$23,'טבלת ניהול'!$Q$3:$Q$400,0)),"")</f>
        <v/>
      </c>
      <c r="H13" s="19">
        <f>IFERROR(INDEX('טבלת ניהול'!$M$3:$M$400,MATCH($T$23,'טבלת ניהול'!$Q$3:$Q$400,0)),"")</f>
        <v/>
      </c>
      <c r="T13">
        <f>IFERROR(SMALL('טבלת ניהול'!$Q$3:$Q$400,12),"")</f>
        <v/>
      </c>
    </row>
    <row r="14">
      <c r="A14" s="16">
        <f>IFERROR(INDEX('טבלת ניהול'!$B$3:$B$400,MATCH($T$6,'טבלת ניהול'!$Q$3:$Q$400,0)),"")</f>
        <v/>
      </c>
      <c r="B14" s="17">
        <f>IFERROR(INDEX('טבלת ניהול'!$K$3:$K$400,MATCH($T$6,'טבלת ניהול'!$Q$3:$Q$400,0)),"")</f>
        <v/>
      </c>
      <c r="C14" s="17">
        <f>IFERROR(INDEX('טבלת ניהול'!$L$3:$L$400,MATCH($T$6,'טבלת ניהול'!$Q$3:$Q$400,0)),"")</f>
        <v/>
      </c>
      <c r="D14" s="18">
        <f>IFERROR(INDEX('טבלת ניהול'!$M$3:$M$400,MATCH($T$6,'טבלת ניהול'!$Q$3:$Q$400,0)),"")</f>
        <v/>
      </c>
      <c r="E14" s="16">
        <f>IFERROR(INDEX('טבלת ניהול'!$B$3:$B$400,MATCH($T$24,'טבלת ניהול'!$Q$3:$Q$400,0)),"")</f>
        <v/>
      </c>
      <c r="F14" s="17">
        <f>IFERROR(INDEX('טבלת ניהול'!$K$3:$K$400,MATCH($T$24,'טבלת ניהול'!$Q$3:$Q$400,0)),"")</f>
        <v/>
      </c>
      <c r="G14" s="17">
        <f>IFERROR(INDEX('טבלת ניהול'!$L$3:$L$400,MATCH($T$24,'טבלת ניהול'!$Q$3:$Q$400,0)),"")</f>
        <v/>
      </c>
      <c r="H14" s="19">
        <f>IFERROR(INDEX('טבלת ניהול'!$M$3:$M$400,MATCH($T$24,'טבלת ניהול'!$Q$3:$Q$400,0)),"")</f>
        <v/>
      </c>
    </row>
    <row r="15">
      <c r="A15" s="16">
        <f>IFERROR(INDEX('טבלת ניהול'!$B$3:$B$400,MATCH($T$7,'טבלת ניהול'!$Q$3:$Q$400,0)),"")</f>
        <v/>
      </c>
      <c r="B15" s="17">
        <f>IFERROR(INDEX('טבלת ניהול'!$K$3:$K$400,MATCH($T$7,'טבלת ניהול'!$Q$3:$Q$400,0)),"")</f>
        <v/>
      </c>
      <c r="C15" s="17">
        <f>IFERROR(INDEX('טבלת ניהול'!$L$3:$L$400,MATCH($T$7,'טבלת ניהול'!$Q$3:$Q$400,0)),"")</f>
        <v/>
      </c>
      <c r="D15" s="18">
        <f>IFERROR(INDEX('טבלת ניהול'!$M$3:$M$400,MATCH($T$7,'טבלת ניהול'!$Q$3:$Q$400,0)),"")</f>
        <v/>
      </c>
      <c r="E15" s="16">
        <f>IFERROR(INDEX('טבלת ניהול'!$B$3:$B$400,MATCH($T$25,'טבלת ניהול'!$Q$3:$Q$400,0)),"")</f>
        <v/>
      </c>
      <c r="F15" s="17">
        <f>IFERROR(INDEX('טבלת ניהול'!$K$3:$K$400,MATCH($T$25,'טבלת ניהול'!$Q$3:$Q$400,0)),"")</f>
        <v/>
      </c>
      <c r="G15" s="17">
        <f>IFERROR(INDEX('טבלת ניהול'!$L$3:$L$400,MATCH($T$25,'טבלת ניהול'!$Q$3:$Q$400,0)),"")</f>
        <v/>
      </c>
      <c r="H15" s="19">
        <f>IFERROR(INDEX('טבלת ניהול'!$M$3:$M$400,MATCH($T$25,'טבלת ניהול'!$Q$3:$Q$400,0)),"")</f>
        <v/>
      </c>
    </row>
    <row r="16">
      <c r="A16" s="16">
        <f>IFERROR(INDEX('טבלת ניהול'!$B$3:$B$400,MATCH($T$8,'טבלת ניהול'!$Q$3:$Q$400,0)),"")</f>
        <v/>
      </c>
      <c r="B16" s="17">
        <f>IFERROR(INDEX('טבלת ניהול'!$K$3:$K$400,MATCH($T$8,'טבלת ניהול'!$Q$3:$Q$400,0)),"")</f>
        <v/>
      </c>
      <c r="C16" s="17">
        <f>IFERROR(INDEX('טבלת ניהול'!$L$3:$L$400,MATCH($T$8,'טבלת ניהול'!$Q$3:$Q$400,0)),"")</f>
        <v/>
      </c>
      <c r="D16" s="18">
        <f>IFERROR(INDEX('טבלת ניהול'!$M$3:$M$400,MATCH($T$8,'טבלת ניהול'!$Q$3:$Q$400,0)),"")</f>
        <v/>
      </c>
    </row>
    <row r="17">
      <c r="A17" s="16">
        <f>IFERROR(INDEX('טבלת ניהול'!$B$3:$B$400,MATCH($T$9,'טבלת ניהול'!$Q$3:$Q$400,0)),"")</f>
        <v/>
      </c>
      <c r="B17" s="17">
        <f>IFERROR(INDEX('טבלת ניהול'!$K$3:$K$400,MATCH($T$9,'טבלת ניהול'!$Q$3:$Q$400,0)),"")</f>
        <v/>
      </c>
      <c r="C17" s="17">
        <f>IFERROR(INDEX('טבלת ניהול'!$L$3:$L$400,MATCH($T$9,'טבלת ניהול'!$Q$3:$Q$400,0)),"")</f>
        <v/>
      </c>
      <c r="D17" s="18">
        <f>IFERROR(INDEX('טבלת ניהול'!$M$3:$M$400,MATCH($T$9,'טבלת ניהול'!$Q$3:$Q$400,0)),"")</f>
        <v/>
      </c>
    </row>
    <row r="18">
      <c r="A18" s="16">
        <f>IFERROR(INDEX('טבלת ניהול'!$B$3:$B$400,MATCH($T$10,'טבלת ניהול'!$Q$3:$Q$400,0)),"")</f>
        <v/>
      </c>
      <c r="B18" s="17">
        <f>IFERROR(INDEX('טבלת ניהול'!$K$3:$K$400,MATCH($T$10,'טבלת ניהול'!$Q$3:$Q$400,0)),"")</f>
        <v/>
      </c>
      <c r="C18" s="17">
        <f>IFERROR(INDEX('טבלת ניהול'!$L$3:$L$400,MATCH($T$10,'טבלת ניהול'!$Q$3:$Q$400,0)),"")</f>
        <v/>
      </c>
      <c r="D18" s="18">
        <f>IFERROR(INDEX('טבלת ניהול'!$M$3:$M$400,MATCH($T$10,'טבלת ניהול'!$Q$3:$Q$400,0)),"")</f>
        <v/>
      </c>
    </row>
    <row r="19">
      <c r="A19" s="16">
        <f>IFERROR(INDEX('טבלת ניהול'!$B$3:$B$400,MATCH($T$11,'טבלת ניהול'!$Q$3:$Q$400,0)),"")</f>
        <v/>
      </c>
      <c r="B19" s="17">
        <f>IFERROR(INDEX('טבלת ניהול'!$K$3:$K$400,MATCH($T$11,'טבלת ניהול'!$Q$3:$Q$400,0)),"")</f>
        <v/>
      </c>
      <c r="C19" s="17">
        <f>IFERROR(INDEX('טבלת ניהול'!$L$3:$L$400,MATCH($T$11,'טבלת ניהול'!$Q$3:$Q$400,0)),"")</f>
        <v/>
      </c>
      <c r="D19" s="18">
        <f>IFERROR(INDEX('טבלת ניהול'!$M$3:$M$400,MATCH($T$11,'טבלת ניהול'!$Q$3:$Q$400,0)),"")</f>
        <v/>
      </c>
    </row>
    <row r="20">
      <c r="A20" s="16">
        <f>IFERROR(INDEX('טבלת ניהול'!$B$3:$B$400,MATCH($T$12,'טבלת ניהול'!$Q$3:$Q$400,0)),"")</f>
        <v/>
      </c>
      <c r="B20" s="17">
        <f>IFERROR(INDEX('טבלת ניהול'!$K$3:$K$400,MATCH($T$12,'טבלת ניהול'!$Q$3:$Q$400,0)),"")</f>
        <v/>
      </c>
      <c r="C20" s="17">
        <f>IFERROR(INDEX('טבלת ניהול'!$L$3:$L$400,MATCH($T$12,'טבלת ניהול'!$Q$3:$Q$400,0)),"")</f>
        <v/>
      </c>
      <c r="D20" s="18">
        <f>IFERROR(INDEX('טבלת ניהול'!$M$3:$M$400,MATCH($T$12,'טבלת ניהול'!$Q$3:$Q$400,0)),"")</f>
        <v/>
      </c>
      <c r="T20">
        <f>IFERROR(IF(LARGE('טבלת ניהול'!$Q$3:$Q$400,1)&gt;0,LARGE('טבלת ניהול'!$Q$3:$Q$400,1),""),"")</f>
        <v/>
      </c>
    </row>
    <row r="21">
      <c r="A21" s="16">
        <f>IFERROR(INDEX('טבלת ניהול'!$B$3:$B$400,MATCH($T$13,'טבלת ניהול'!$Q$3:$Q$400,0)),"")</f>
        <v/>
      </c>
      <c r="B21" s="17">
        <f>IFERROR(INDEX('טבלת ניהול'!$K$3:$K$400,MATCH($T$13,'טבלת ניהול'!$Q$3:$Q$400,0)),"")</f>
        <v/>
      </c>
      <c r="C21" s="17">
        <f>IFERROR(INDEX('טבלת ניהול'!$L$3:$L$400,MATCH($T$13,'טבלת ניהול'!$Q$3:$Q$400,0)),"")</f>
        <v/>
      </c>
      <c r="D21" s="18">
        <f>IFERROR(INDEX('טבלת ניהול'!$M$3:$M$400,MATCH($T$13,'טבלת ניהול'!$Q$3:$Q$400,0)),"")</f>
        <v/>
      </c>
      <c r="T21">
        <f>IFERROR(IF(LARGE('טבלת ניהול'!$Q$3:$Q$400,2)&gt;0,LARGE('טבלת ניהול'!$Q$3:$Q$400,2),""),"")</f>
        <v/>
      </c>
    </row>
    <row r="22">
      <c r="T22">
        <f>IFERROR(IF(LARGE('טבלת ניהול'!$Q$3:$Q$400,3)&gt;0,LARGE('טבלת ניהול'!$Q$3:$Q$400,3),""),"")</f>
        <v/>
      </c>
    </row>
    <row r="23">
      <c r="T23">
        <f>IFERROR(IF(LARGE('טבלת ניהול'!$Q$3:$Q$400,4)&gt;0,LARGE('טבלת ניהול'!$Q$3:$Q$400,4),""),"")</f>
        <v/>
      </c>
    </row>
    <row r="24">
      <c r="T24">
        <f>IFERROR(IF(LARGE('טבלת ניהול'!$Q$3:$Q$400,5)&gt;0,LARGE('טבלת ניהול'!$Q$3:$Q$400,5),""),"")</f>
        <v/>
      </c>
    </row>
    <row r="25">
      <c r="T25">
        <f>IFERROR(IF(LARGE('טבלת ניהול'!$Q$3:$Q$400,6)&gt;0,LARGE('טבלת ניהול'!$Q$3:$Q$400,6),""),"")</f>
        <v/>
      </c>
    </row>
  </sheetData>
  <mergeCells count="11">
    <mergeCell ref="A5:A6"/>
    <mergeCell ref="G5:G6"/>
    <mergeCell ref="E5:E6"/>
    <mergeCell ref="A8:D8"/>
    <mergeCell ref="E8:H8"/>
    <mergeCell ref="F5:F6"/>
    <mergeCell ref="A2:H2"/>
    <mergeCell ref="A1:H1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0"/>
  <sheetViews>
    <sheetView rightToLeft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22" customWidth="1" min="16" max="16"/>
    <col hidden="1" width="9" customWidth="1" min="17" max="17"/>
  </cols>
  <sheetData>
    <row r="1" ht="30" customHeight="1">
      <c r="A1" s="20" t="inlineStr">
        <is>
          <t>טבלת עוצמה גדודית — גדוד 28 | ניהול חי (Google Sheets)</t>
        </is>
      </c>
    </row>
    <row r="2" ht="30" customHeight="1">
      <c r="A2" s="15" t="inlineStr">
        <is>
          <t>קטגוריה</t>
        </is>
      </c>
      <c r="B2" s="15" t="inlineStr">
        <is>
          <t>אמצעי</t>
        </is>
      </c>
      <c r="C2" s="15" t="inlineStr">
        <is>
          <t>פלוגה א</t>
        </is>
      </c>
      <c r="D2" s="15" t="inlineStr">
        <is>
          <t>פלוגה ב</t>
        </is>
      </c>
      <c r="E2" s="15" t="inlineStr">
        <is>
          <t>פלוגה ג</t>
        </is>
      </c>
      <c r="F2" s="15" t="inlineStr">
        <is>
          <t>מסייעת</t>
        </is>
      </c>
      <c r="G2" s="15" t="inlineStr">
        <is>
          <t>פתן</t>
        </is>
      </c>
      <c r="H2" s="15" t="inlineStr">
        <is>
          <t>חפק</t>
        </is>
      </c>
      <c r="I2" s="15" t="inlineStr">
        <is>
          <t>מפקדה</t>
        </is>
      </c>
      <c r="J2" s="15" t="inlineStr">
        <is>
          <t>מלאי</t>
        </is>
      </c>
      <c r="K2" s="15" t="inlineStr">
        <is>
          <t>סך הכל</t>
        </is>
      </c>
      <c r="L2" s="15" t="inlineStr">
        <is>
          <t>מצאי</t>
        </is>
      </c>
      <c r="M2" s="15" t="inlineStr">
        <is>
          <t>פער</t>
        </is>
      </c>
      <c r="N2" s="15" t="inlineStr">
        <is>
          <t>אחוז מימוש</t>
        </is>
      </c>
      <c r="O2" s="15" t="inlineStr">
        <is>
          <t>סטטוס</t>
        </is>
      </c>
      <c r="P2" s="15" t="inlineStr">
        <is>
          <t>הערות</t>
        </is>
      </c>
      <c r="Q2" s="15" t="inlineStr">
        <is>
          <t>מפתח</t>
        </is>
      </c>
    </row>
    <row r="3">
      <c r="A3" s="16" t="inlineStr">
        <is>
          <t>נשק ומקלעים</t>
        </is>
      </c>
      <c r="B3" s="21" t="inlineStr">
        <is>
          <t>M16</t>
        </is>
      </c>
      <c r="C3" s="17" t="n"/>
      <c r="D3" s="17" t="n"/>
      <c r="E3" s="17" t="n"/>
      <c r="F3" s="17" t="n"/>
      <c r="G3" s="17" t="n"/>
      <c r="H3" s="17" t="n"/>
      <c r="I3" s="17" t="n"/>
      <c r="J3" s="17" t="n">
        <v>173</v>
      </c>
      <c r="K3" s="17">
        <f>IF($B3="","",SUM(C3:J3))</f>
        <v/>
      </c>
      <c r="L3" s="17" t="n"/>
      <c r="M3" s="17">
        <f>IF(OR($B3="",L3=""),"",K3-L3)</f>
        <v/>
      </c>
      <c r="N3" s="22">
        <f>IF(OR($B3="",L3="",L3=0),"",K3/L3)</f>
        <v/>
      </c>
      <c r="O3" s="17">
        <f>IF($B3="","",IF(L3="","אין מצאי",IF(K3&lt;L3,"חוסר",IF(K3&gt;L3,"עודף","תקין"))))</f>
        <v/>
      </c>
      <c r="P3" s="16" t="inlineStr"/>
      <c r="Q3" s="23">
        <f>IF(O3="חוסר",M3-ROW()/100000,IF(O3="עודף",M3+ROW()/100000,""))</f>
        <v/>
      </c>
    </row>
    <row r="4">
      <c r="A4" s="16" t="inlineStr">
        <is>
          <t>נשק ומקלעים</t>
        </is>
      </c>
      <c r="B4" s="21" t="inlineStr">
        <is>
          <t>M16</t>
        </is>
      </c>
      <c r="C4" s="17" t="n"/>
      <c r="D4" s="17" t="n"/>
      <c r="E4" s="17" t="n"/>
      <c r="F4" s="17" t="n"/>
      <c r="G4" s="17" t="n"/>
      <c r="H4" s="17" t="n"/>
      <c r="I4" s="17" t="n">
        <v>12</v>
      </c>
      <c r="J4" s="17" t="n">
        <v>161</v>
      </c>
      <c r="K4" s="17">
        <f>IF($B4="","",SUM(C4:J4))</f>
        <v/>
      </c>
      <c r="L4" s="17" t="n">
        <v>173</v>
      </c>
      <c r="M4" s="17">
        <f>IF(OR($B4="",L4=""),"",K4-L4)</f>
        <v/>
      </c>
      <c r="N4" s="22">
        <f>IF(OR($B4="",L4="",L4=0),"",K4/L4)</f>
        <v/>
      </c>
      <c r="O4" s="17">
        <f>IF($B4="","",IF(L4="","אין מצאי",IF(K4&lt;L4,"חוסר",IF(K4&gt;L4,"עודף","תקין"))))</f>
        <v/>
      </c>
      <c r="P4" s="16" t="inlineStr"/>
      <c r="Q4" s="23">
        <f>IF(O4="חוסר",M4-ROW()/100000,IF(O4="עודף",M4+ROW()/100000,""))</f>
        <v/>
      </c>
    </row>
    <row r="5">
      <c r="A5" s="16" t="inlineStr">
        <is>
          <t>נשק ומקלעים</t>
        </is>
      </c>
      <c r="B5" s="21" t="inlineStr">
        <is>
          <t>זאבון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>
        <f>IF($B5="","",SUM(C5:J5))</f>
        <v/>
      </c>
      <c r="L5" s="17" t="n"/>
      <c r="M5" s="17">
        <f>IF(OR($B5="",L5=""),"",K5-L5)</f>
        <v/>
      </c>
      <c r="N5" s="22">
        <f>IF(OR($B5="",L5="",L5=0),"",K5/L5)</f>
        <v/>
      </c>
      <c r="O5" s="17">
        <f>IF($B5="","",IF(L5="","אין מצאי",IF(K5&lt;L5,"חוסר",IF(K5&gt;L5,"עודף","תקין"))))</f>
        <v/>
      </c>
      <c r="P5" s="16" t="inlineStr"/>
      <c r="Q5" s="23">
        <f>IF(O5="חוסר",M5-ROW()/100000,IF(O5="עודף",M5+ROW()/100000,""))</f>
        <v/>
      </c>
    </row>
    <row r="6">
      <c r="A6" s="16" t="inlineStr">
        <is>
          <t>נשק ומקלעים</t>
        </is>
      </c>
      <c r="B6" s="21" t="inlineStr">
        <is>
          <t>מאג</t>
        </is>
      </c>
      <c r="C6" s="17" t="n"/>
      <c r="D6" s="17" t="n"/>
      <c r="E6" s="17" t="n"/>
      <c r="F6" s="17" t="n"/>
      <c r="G6" s="17" t="n"/>
      <c r="H6" s="17" t="n"/>
      <c r="I6" s="17" t="n"/>
      <c r="J6" s="17" t="n">
        <v>25</v>
      </c>
      <c r="K6" s="17">
        <f>IF($B6="","",SUM(C6:J6))</f>
        <v/>
      </c>
      <c r="L6" s="17" t="n">
        <v>23</v>
      </c>
      <c r="M6" s="17">
        <f>IF(OR($B6="",L6=""),"",K6-L6)</f>
        <v/>
      </c>
      <c r="N6" s="22">
        <f>IF(OR($B6="",L6="",L6=0),"",K6/L6)</f>
        <v/>
      </c>
      <c r="O6" s="17">
        <f>IF($B6="","",IF(L6="","אין מצאי",IF(K6&lt;L6,"חוסר",IF(K6&gt;L6,"עודף","תקין"))))</f>
        <v/>
      </c>
      <c r="P6" s="16" t="inlineStr"/>
      <c r="Q6" s="23">
        <f>IF(O6="חוסר",M6-ROW()/100000,IF(O6="עודף",M6+ROW()/100000,""))</f>
        <v/>
      </c>
    </row>
    <row r="7">
      <c r="A7" s="16" t="inlineStr">
        <is>
          <t>נשק ומקלעים</t>
        </is>
      </c>
      <c r="B7" s="21" t="inlineStr">
        <is>
          <t>מטול+זאבון</t>
        </is>
      </c>
      <c r="C7" s="17" t="n">
        <v>7</v>
      </c>
      <c r="D7" s="17" t="n">
        <v>8</v>
      </c>
      <c r="E7" s="17" t="n">
        <v>6</v>
      </c>
      <c r="F7" s="17" t="n">
        <v>6</v>
      </c>
      <c r="G7" s="17" t="n">
        <v>2</v>
      </c>
      <c r="H7" s="17" t="n">
        <v>1</v>
      </c>
      <c r="I7" s="17" t="n"/>
      <c r="J7" s="17" t="n">
        <v>1</v>
      </c>
      <c r="K7" s="17">
        <f>IF($B7="","",SUM(C7:J7))</f>
        <v/>
      </c>
      <c r="L7" s="17" t="n">
        <v>31</v>
      </c>
      <c r="M7" s="17">
        <f>IF(OR($B7="",L7=""),"",K7-L7)</f>
        <v/>
      </c>
      <c r="N7" s="22">
        <f>IF(OR($B7="",L7="",L7=0),"",K7/L7)</f>
        <v/>
      </c>
      <c r="O7" s="17">
        <f>IF($B7="","",IF(L7="","אין מצאי",IF(K7&lt;L7,"חוסר",IF(K7&gt;L7,"עודף","תקין"))))</f>
        <v/>
      </c>
      <c r="P7" s="16" t="inlineStr"/>
      <c r="Q7" s="23">
        <f>IF(O7="חוסר",M7-ROW()/100000,IF(O7="עודף",M7+ROW()/100000,""))</f>
        <v/>
      </c>
    </row>
    <row r="8">
      <c r="A8" s="16" t="inlineStr">
        <is>
          <t>נשק ומקלעים</t>
        </is>
      </c>
      <c r="B8" s="21" t="inlineStr">
        <is>
          <t>מפרו לייט קצר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>
        <f>IF($B8="","",SUM(C8:J8))</f>
        <v/>
      </c>
      <c r="L8" s="17" t="n"/>
      <c r="M8" s="17">
        <f>IF(OR($B8="",L8=""),"",K8-L8)</f>
        <v/>
      </c>
      <c r="N8" s="22">
        <f>IF(OR($B8="",L8="",L8=0),"",K8/L8)</f>
        <v/>
      </c>
      <c r="O8" s="17">
        <f>IF($B8="","",IF(L8="","אין מצאי",IF(K8&lt;L8,"חוסר",IF(K8&gt;L8,"עודף","תקין"))))</f>
        <v/>
      </c>
      <c r="P8" s="16" t="inlineStr"/>
      <c r="Q8" s="23">
        <f>IF(O8="חוסר",M8-ROW()/100000,IF(O8="עודף",M8+ROW()/100000,""))</f>
        <v/>
      </c>
    </row>
    <row r="9">
      <c r="A9" s="16" t="inlineStr">
        <is>
          <t>נשק ומקלעים</t>
        </is>
      </c>
      <c r="B9" s="21" t="inlineStr">
        <is>
          <t>מקלע נגב קל</t>
        </is>
      </c>
      <c r="C9" s="17" t="n">
        <v>4</v>
      </c>
      <c r="D9" s="17" t="n">
        <v>6</v>
      </c>
      <c r="E9" s="17" t="n">
        <v>3</v>
      </c>
      <c r="F9" s="17" t="n">
        <v>3</v>
      </c>
      <c r="G9" s="17" t="n"/>
      <c r="H9" s="17" t="n">
        <v>2</v>
      </c>
      <c r="I9" s="17" t="n"/>
      <c r="J9" s="17" t="n">
        <v>7</v>
      </c>
      <c r="K9" s="17">
        <f>IF($B9="","",SUM(C9:J9))</f>
        <v/>
      </c>
      <c r="L9" s="17" t="n">
        <v>31</v>
      </c>
      <c r="M9" s="17">
        <f>IF(OR($B9="",L9=""),"",K9-L9)</f>
        <v/>
      </c>
      <c r="N9" s="22">
        <f>IF(OR($B9="",L9="",L9=0),"",K9/L9)</f>
        <v/>
      </c>
      <c r="O9" s="17">
        <f>IF($B9="","",IF(L9="","אין מצאי",IF(K9&lt;L9,"חוסר",IF(K9&gt;L9,"עודף","תקין"))))</f>
        <v/>
      </c>
      <c r="P9" s="16" t="inlineStr"/>
      <c r="Q9" s="23">
        <f>IF(O9="חוסר",M9-ROW()/100000,IF(O9="עודף",M9+ROW()/100000,""))</f>
        <v/>
      </c>
    </row>
    <row r="10">
      <c r="A10" s="16" t="inlineStr">
        <is>
          <t>נשק ומקלעים</t>
        </is>
      </c>
      <c r="B10" s="21" t="inlineStr">
        <is>
          <t>מקלרון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>
        <v>2</v>
      </c>
      <c r="K10" s="17">
        <f>IF($B10="","",SUM(C10:J10))</f>
        <v/>
      </c>
      <c r="L10" s="17" t="n">
        <v>2</v>
      </c>
      <c r="M10" s="17">
        <f>IF(OR($B10="",L10=""),"",K10-L10)</f>
        <v/>
      </c>
      <c r="N10" s="22">
        <f>IF(OR($B10="",L10="",L10=0),"",K10/L10)</f>
        <v/>
      </c>
      <c r="O10" s="17">
        <f>IF($B10="","",IF(L10="","אין מצאי",IF(K10&lt;L10,"חוסר",IF(K10&gt;L10,"עודף","תקין"))))</f>
        <v/>
      </c>
      <c r="P10" s="16" t="inlineStr"/>
      <c r="Q10" s="23">
        <f>IF(O10="חוסר",M10-ROW()/100000,IF(O10="עודף",M10+ROW()/100000,""))</f>
        <v/>
      </c>
    </row>
    <row r="11">
      <c r="A11" s="16" t="inlineStr">
        <is>
          <t>נשק ומקלעים</t>
        </is>
      </c>
      <c r="B11" s="21" t="inlineStr">
        <is>
          <t>נגב 7.62</t>
        </is>
      </c>
      <c r="C11" s="17" t="n">
        <v>2</v>
      </c>
      <c r="D11" s="17" t="n">
        <v>1</v>
      </c>
      <c r="E11" s="17" t="n">
        <v>2</v>
      </c>
      <c r="F11" s="17" t="n">
        <v>2</v>
      </c>
      <c r="G11" s="17" t="n"/>
      <c r="H11" s="17" t="n"/>
      <c r="I11" s="17" t="n"/>
      <c r="J11" s="17" t="n">
        <v>1</v>
      </c>
      <c r="K11" s="17">
        <f>IF($B11="","",SUM(C11:J11))</f>
        <v/>
      </c>
      <c r="L11" s="17" t="n">
        <v>8</v>
      </c>
      <c r="M11" s="17">
        <f>IF(OR($B11="",L11=""),"",K11-L11)</f>
        <v/>
      </c>
      <c r="N11" s="22">
        <f>IF(OR($B11="",L11="",L11=0),"",K11/L11)</f>
        <v/>
      </c>
      <c r="O11" s="17">
        <f>IF($B11="","",IF(L11="","אין מצאי",IF(K11&lt;L11,"חוסר",IF(K11&gt;L11,"עודף","תקין"))))</f>
        <v/>
      </c>
      <c r="P11" s="16" t="inlineStr"/>
      <c r="Q11" s="23">
        <f>IF(O11="חוסר",M11-ROW()/100000,IF(O11="עודף",M11+ROW()/100000,""))</f>
        <v/>
      </c>
    </row>
    <row r="12">
      <c r="A12" s="16" t="inlineStr">
        <is>
          <t>נשק ומקלעים</t>
        </is>
      </c>
      <c r="B12" s="21" t="inlineStr">
        <is>
          <t>פגיון + כוונת</t>
        </is>
      </c>
      <c r="C12" s="17" t="n">
        <v>1</v>
      </c>
      <c r="D12" s="17" t="n">
        <v>1</v>
      </c>
      <c r="E12" s="17" t="n">
        <v>1</v>
      </c>
      <c r="F12" s="17" t="n">
        <v>1</v>
      </c>
      <c r="G12" s="17" t="n"/>
      <c r="H12" s="17" t="n"/>
      <c r="I12" s="17" t="n"/>
      <c r="J12" s="17" t="n">
        <v>1</v>
      </c>
      <c r="K12" s="17">
        <f>IF($B12="","",SUM(C12:J12))</f>
        <v/>
      </c>
      <c r="L12" s="17" t="n">
        <v>5</v>
      </c>
      <c r="M12" s="17">
        <f>IF(OR($B12="",L12=""),"",K12-L12)</f>
        <v/>
      </c>
      <c r="N12" s="22">
        <f>IF(OR($B12="",L12="",L12=0),"",K12/L12)</f>
        <v/>
      </c>
      <c r="O12" s="17">
        <f>IF($B12="","",IF(L12="","אין מצאי",IF(K12&lt;L12,"חוסר",IF(K12&gt;L12,"עודף","תקין"))))</f>
        <v/>
      </c>
      <c r="P12" s="16" t="inlineStr"/>
      <c r="Q12" s="23">
        <f>IF(O12="חוסר",M12-ROW()/100000,IF(O12="עודף",M12+ROW()/100000,""))</f>
        <v/>
      </c>
    </row>
    <row r="13">
      <c r="A13" s="16" t="inlineStr">
        <is>
          <t>נשק ומקלעים</t>
        </is>
      </c>
      <c r="B13" s="21" t="inlineStr">
        <is>
          <t>רוב"צ HTR 338</t>
        </is>
      </c>
      <c r="C13" s="17" t="n"/>
      <c r="D13" s="17" t="n"/>
      <c r="E13" s="17" t="n"/>
      <c r="F13" s="17" t="n">
        <v>4</v>
      </c>
      <c r="G13" s="17" t="n"/>
      <c r="H13" s="17" t="n"/>
      <c r="I13" s="17" t="n"/>
      <c r="J13" s="17" t="n"/>
      <c r="K13" s="17">
        <f>IF($B13="","",SUM(C13:J13))</f>
        <v/>
      </c>
      <c r="L13" s="17" t="n">
        <v>4</v>
      </c>
      <c r="M13" s="17">
        <f>IF(OR($B13="",L13=""),"",K13-L13)</f>
        <v/>
      </c>
      <c r="N13" s="22">
        <f>IF(OR($B13="",L13="",L13=0),"",K13/L13)</f>
        <v/>
      </c>
      <c r="O13" s="17">
        <f>IF($B13="","",IF(L13="","אין מצאי",IF(K13&lt;L13,"חוסר",IF(K13&gt;L13,"עודף","תקין"))))</f>
        <v/>
      </c>
      <c r="P13" s="16" t="inlineStr"/>
      <c r="Q13" s="23">
        <f>IF(O13="חוסר",M13-ROW()/100000,IF(O13="עודף",M13+ROW()/100000,""))</f>
        <v/>
      </c>
    </row>
    <row r="14">
      <c r="A14" s="16" t="inlineStr">
        <is>
          <t>נשק ומקלעים</t>
        </is>
      </c>
      <c r="B14" s="21" t="inlineStr">
        <is>
          <t>רוב"צ M24</t>
        </is>
      </c>
      <c r="C14" s="17" t="n"/>
      <c r="D14" s="17" t="n"/>
      <c r="E14" s="17" t="n"/>
      <c r="F14" s="17" t="n">
        <v>5</v>
      </c>
      <c r="G14" s="17" t="n"/>
      <c r="H14" s="17" t="n"/>
      <c r="I14" s="17" t="n"/>
      <c r="J14" s="17" t="n"/>
      <c r="K14" s="17">
        <f>IF($B14="","",SUM(C14:J14))</f>
        <v/>
      </c>
      <c r="L14" s="17" t="n">
        <v>8</v>
      </c>
      <c r="M14" s="17">
        <f>IF(OR($B14="",L14=""),"",K14-L14)</f>
        <v/>
      </c>
      <c r="N14" s="22">
        <f>IF(OR($B14="",L14="",L14=0),"",K14/L14)</f>
        <v/>
      </c>
      <c r="O14" s="17">
        <f>IF($B14="","",IF(L14="","אין מצאי",IF(K14&lt;L14,"חוסר",IF(K14&gt;L14,"עודף","תקין"))))</f>
        <v/>
      </c>
      <c r="P14" s="16" t="inlineStr"/>
      <c r="Q14" s="23">
        <f>IF(O14="חוסר",M14-ROW()/100000,IF(O14="עודף",M14+ROW()/100000,""))</f>
        <v/>
      </c>
    </row>
    <row r="15">
      <c r="A15" s="16" t="inlineStr">
        <is>
          <t>נשק ומקלעים</t>
        </is>
      </c>
      <c r="B15" s="21" t="inlineStr">
        <is>
          <t>רוס"ר M4 פלטופ</t>
        </is>
      </c>
      <c r="C15" s="17" t="n">
        <v>58</v>
      </c>
      <c r="D15" s="17" t="n">
        <v>58</v>
      </c>
      <c r="E15" s="17" t="n">
        <v>52</v>
      </c>
      <c r="F15" s="17" t="n">
        <v>79</v>
      </c>
      <c r="G15" s="17" t="n">
        <v>25</v>
      </c>
      <c r="H15" s="17" t="n">
        <v>14</v>
      </c>
      <c r="I15" s="17" t="n"/>
      <c r="J15" s="17" t="n">
        <v>59</v>
      </c>
      <c r="K15" s="17">
        <f>IF($B15="","",SUM(C15:J15))</f>
        <v/>
      </c>
      <c r="L15" s="17" t="n">
        <v>347</v>
      </c>
      <c r="M15" s="17">
        <f>IF(OR($B15="",L15=""),"",K15-L15)</f>
        <v/>
      </c>
      <c r="N15" s="22">
        <f>IF(OR($B15="",L15="",L15=0),"",K15/L15)</f>
        <v/>
      </c>
      <c r="O15" s="17">
        <f>IF($B15="","",IF(L15="","אין מצאי",IF(K15&lt;L15,"חוסר",IF(K15&gt;L15,"עודף","תקין"))))</f>
        <v/>
      </c>
      <c r="P15" s="16" t="inlineStr">
        <is>
          <t>מלט פסטרנק לשם</t>
        </is>
      </c>
      <c r="Q15" s="23">
        <f>IF(O15="חוסר",M15-ROW()/100000,IF(O15="עודף",M15+ROW()/100000,""))</f>
        <v/>
      </c>
    </row>
    <row r="16">
      <c r="A16" s="16" t="inlineStr">
        <is>
          <t>כוונות ואופטיקה</t>
        </is>
      </c>
      <c r="B16" s="21" t="inlineStr">
        <is>
          <t>PACK EOTECH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>
        <v>81</v>
      </c>
      <c r="K16" s="17">
        <f>IF($B16="","",SUM(C16:J16))</f>
        <v/>
      </c>
      <c r="L16" s="17" t="n"/>
      <c r="M16" s="17">
        <f>IF(OR($B16="",L16=""),"",K16-L16)</f>
        <v/>
      </c>
      <c r="N16" s="22">
        <f>IF(OR($B16="",L16="",L16=0),"",K16/L16)</f>
        <v/>
      </c>
      <c r="O16" s="17">
        <f>IF($B16="","",IF(L16="","אין מצאי",IF(K16&lt;L16,"חוסר",IF(K16&gt;L16,"עודף","תקין"))))</f>
        <v/>
      </c>
      <c r="P16" s="16" t="inlineStr"/>
      <c r="Q16" s="23">
        <f>IF(O16="חוסר",M16-ROW()/100000,IF(O16="עודף",M16+ROW()/100000,""))</f>
        <v/>
      </c>
    </row>
    <row r="17">
      <c r="A17" s="16" t="inlineStr">
        <is>
          <t>כוונות ואופטיקה</t>
        </is>
      </c>
      <c r="B17" s="21" t="inlineStr">
        <is>
          <t>PACK שחור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>
        <v>51</v>
      </c>
      <c r="K17" s="17">
        <f>IF($B17="","",SUM(C17:J17))</f>
        <v/>
      </c>
      <c r="L17" s="17" t="n"/>
      <c r="M17" s="17">
        <f>IF(OR($B17="",L17=""),"",K17-L17)</f>
        <v/>
      </c>
      <c r="N17" s="22">
        <f>IF(OR($B17="",L17="",L17=0),"",K17/L17)</f>
        <v/>
      </c>
      <c r="O17" s="17">
        <f>IF($B17="","",IF(L17="","אין מצאי",IF(K17&lt;L17,"חוסר",IF(K17&gt;L17,"עודף","תקין"))))</f>
        <v/>
      </c>
      <c r="P17" s="16" t="inlineStr"/>
      <c r="Q17" s="23">
        <f>IF(O17="חוסר",M17-ROW()/100000,IF(O17="עודף",M17+ROW()/100000,""))</f>
        <v/>
      </c>
    </row>
    <row r="18">
      <c r="A18" s="16" t="inlineStr">
        <is>
          <t>כוונות ואופטיקה</t>
        </is>
      </c>
      <c r="B18" s="21" t="inlineStr">
        <is>
          <t>eotech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>
        <f>IF($B18="","",SUM(C18:J18))</f>
        <v/>
      </c>
      <c r="L18" s="17" t="n"/>
      <c r="M18" s="17">
        <f>IF(OR($B18="",L18=""),"",K18-L18)</f>
        <v/>
      </c>
      <c r="N18" s="22">
        <f>IF(OR($B18="",L18="",L18=0),"",K18/L18)</f>
        <v/>
      </c>
      <c r="O18" s="17">
        <f>IF($B18="","",IF(L18="","אין מצאי",IF(K18&lt;L18,"חוסר",IF(K18&gt;L18,"עודף","תקין"))))</f>
        <v/>
      </c>
      <c r="P18" s="16" t="inlineStr"/>
      <c r="Q18" s="23">
        <f>IF(O18="חוסר",M18-ROW()/100000,IF(O18="עודף",M18+ROW()/100000,""))</f>
        <v/>
      </c>
    </row>
    <row r="19">
      <c r="A19" s="16" t="inlineStr">
        <is>
          <t>כוונות ואופטיקה</t>
        </is>
      </c>
      <c r="B19" s="21" t="inlineStr">
        <is>
          <t>כוונת השלכה M5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>
        <f>IF($B19="","",SUM(C19:J19))</f>
        <v/>
      </c>
      <c r="L19" s="17" t="n">
        <v>306</v>
      </c>
      <c r="M19" s="17">
        <f>IF(OR($B19="",L19=""),"",K19-L19)</f>
        <v/>
      </c>
      <c r="N19" s="22">
        <f>IF(OR($B19="",L19="",L19=0),"",K19/L19)</f>
        <v/>
      </c>
      <c r="O19" s="17">
        <f>IF($B19="","",IF(L19="","אין מצאי",IF(K19&lt;L19,"חוסר",IF(K19&gt;L19,"עודף","תקין"))))</f>
        <v/>
      </c>
      <c r="P19" s="16" t="inlineStr"/>
      <c r="Q19" s="23">
        <f>IF(O19="חוסר",M19-ROW()/100000,IF(O19="עודף",M19+ROW()/100000,""))</f>
        <v/>
      </c>
    </row>
    <row r="20">
      <c r="A20" s="16" t="inlineStr">
        <is>
          <t>כוונות ואופטיקה</t>
        </is>
      </c>
      <c r="B20" s="21" t="inlineStr">
        <is>
          <t>כוונת השלכה מתקדמת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>
        <v>29</v>
      </c>
      <c r="K20" s="17">
        <f>IF($B20="","",SUM(C20:J20))</f>
        <v/>
      </c>
      <c r="L20" s="17" t="n"/>
      <c r="M20" s="17">
        <f>IF(OR($B20="",L20=""),"",K20-L20)</f>
        <v/>
      </c>
      <c r="N20" s="22">
        <f>IF(OR($B20="",L20="",L20=0),"",K20/L20)</f>
        <v/>
      </c>
      <c r="O20" s="17">
        <f>IF($B20="","",IF(L20="","אין מצאי",IF(K20&lt;L20,"חוסר",IF(K20&gt;L20,"עודף","תקין"))))</f>
        <v/>
      </c>
      <c r="P20" s="16" t="inlineStr"/>
      <c r="Q20" s="23">
        <f>IF(O20="חוסר",M20-ROW()/100000,IF(O20="עודף",M20+ROW()/100000,""))</f>
        <v/>
      </c>
    </row>
    <row r="21">
      <c r="A21" s="16" t="inlineStr">
        <is>
          <t>כוונות ואופטיקה</t>
        </is>
      </c>
      <c r="B21" s="21" t="inlineStr">
        <is>
          <t>כוונת טריג'</t>
        </is>
      </c>
      <c r="C21" s="17" t="n">
        <v>12</v>
      </c>
      <c r="D21" s="17" t="n">
        <v>14</v>
      </c>
      <c r="E21" s="17" t="n">
        <v>16</v>
      </c>
      <c r="F21" s="17" t="n">
        <v>15</v>
      </c>
      <c r="G21" s="17" t="n">
        <v>2</v>
      </c>
      <c r="H21" s="17" t="n">
        <v>4</v>
      </c>
      <c r="I21" s="17" t="n"/>
      <c r="J21" s="17" t="n">
        <v>6</v>
      </c>
      <c r="K21" s="17">
        <f>IF($B21="","",SUM(C21:J21))</f>
        <v/>
      </c>
      <c r="L21" s="17" t="n">
        <v>70</v>
      </c>
      <c r="M21" s="17">
        <f>IF(OR($B21="",L21=""),"",K21-L21)</f>
        <v/>
      </c>
      <c r="N21" s="22">
        <f>IF(OR($B21="",L21="",L21=0),"",K21/L21)</f>
        <v/>
      </c>
      <c r="O21" s="17">
        <f>IF($B21="","",IF(L21="","אין מצאי",IF(K21&lt;L21,"חוסר",IF(K21&gt;L21,"עודף","תקין"))))</f>
        <v/>
      </c>
      <c r="P21" s="16" t="inlineStr">
        <is>
          <t>1 אצל מלט</t>
        </is>
      </c>
      <c r="Q21" s="23">
        <f>IF(O21="חוסר",M21-ROW()/100000,IF(O21="עודף",M21+ROW()/100000,""))</f>
        <v/>
      </c>
    </row>
    <row r="22">
      <c r="A22" s="16" t="inlineStr">
        <is>
          <t>כוונות ואופטיקה</t>
        </is>
      </c>
      <c r="B22" s="21" t="inlineStr">
        <is>
          <t>כוונת טרמית קליפאון</t>
        </is>
      </c>
      <c r="C22" s="17" t="n"/>
      <c r="D22" s="17" t="n"/>
      <c r="E22" s="17" t="n"/>
      <c r="F22" s="17" t="n">
        <v>8</v>
      </c>
      <c r="G22" s="17" t="n"/>
      <c r="H22" s="17" t="n"/>
      <c r="I22" s="17" t="n"/>
      <c r="J22" s="17" t="n"/>
      <c r="K22" s="17">
        <f>IF($B22="","",SUM(C22:J22))</f>
        <v/>
      </c>
      <c r="L22" s="17" t="n">
        <v>8</v>
      </c>
      <c r="M22" s="17">
        <f>IF(OR($B22="",L22=""),"",K22-L22)</f>
        <v/>
      </c>
      <c r="N22" s="22">
        <f>IF(OR($B22="",L22="",L22=0),"",K22/L22)</f>
        <v/>
      </c>
      <c r="O22" s="17">
        <f>IF($B22="","",IF(L22="","אין מצאי",IF(K22&lt;L22,"חוסר",IF(K22&gt;L22,"עודף","תקין"))))</f>
        <v/>
      </c>
      <c r="P22" s="16" t="inlineStr"/>
      <c r="Q22" s="23">
        <f>IF(O22="חוסר",M22-ROW()/100000,IF(O22="עודף",M22+ROW()/100000,""))</f>
        <v/>
      </c>
    </row>
    <row r="23">
      <c r="A23" s="16" t="inlineStr">
        <is>
          <t>כוונות ואופטיקה</t>
        </is>
      </c>
      <c r="B23" s="21" t="inlineStr">
        <is>
          <t>כוונת לילה לצלף MUNS</t>
        </is>
      </c>
      <c r="C23" s="17" t="n"/>
      <c r="D23" s="17" t="n"/>
      <c r="E23" s="17" t="n"/>
      <c r="F23" s="17" t="n">
        <v>4</v>
      </c>
      <c r="G23" s="17" t="n"/>
      <c r="H23" s="17" t="n"/>
      <c r="I23" s="17" t="n"/>
      <c r="J23" s="17" t="n"/>
      <c r="K23" s="17">
        <f>IF($B23="","",SUM(C23:J23))</f>
        <v/>
      </c>
      <c r="L23" s="17" t="n">
        <v>4</v>
      </c>
      <c r="M23" s="17">
        <f>IF(OR($B23="",L23=""),"",K23-L23)</f>
        <v/>
      </c>
      <c r="N23" s="22">
        <f>IF(OR($B23="",L23="",L23=0),"",K23/L23)</f>
        <v/>
      </c>
      <c r="O23" s="17">
        <f>IF($B23="","",IF(L23="","אין מצאי",IF(K23&lt;L23,"חוסר",IF(K23&gt;L23,"עודף","תקין"))))</f>
        <v/>
      </c>
      <c r="P23" s="16" t="inlineStr"/>
      <c r="Q23" s="23">
        <f>IF(O23="חוסר",M23-ROW()/100000,IF(O23="עודף",M23+ROW()/100000,""))</f>
        <v/>
      </c>
    </row>
    <row r="24">
      <c r="A24" s="16" t="inlineStr">
        <is>
          <t>כוונות ואופטיקה</t>
        </is>
      </c>
      <c r="B24" s="21" t="inlineStr">
        <is>
          <t>לאופולד</t>
        </is>
      </c>
      <c r="C24" s="17" t="n"/>
      <c r="D24" s="17" t="n"/>
      <c r="E24" s="17" t="n"/>
      <c r="F24" s="17" t="n">
        <v>3</v>
      </c>
      <c r="G24" s="17" t="n"/>
      <c r="H24" s="17" t="n"/>
      <c r="I24" s="17" t="n"/>
      <c r="J24" s="17" t="n"/>
      <c r="K24" s="17">
        <f>IF($B24="","",SUM(C24:J24))</f>
        <v/>
      </c>
      <c r="L24" s="17" t="n"/>
      <c r="M24" s="17">
        <f>IF(OR($B24="",L24=""),"",K24-L24)</f>
        <v/>
      </c>
      <c r="N24" s="22">
        <f>IF(OR($B24="",L24="",L24=0),"",K24/L24)</f>
        <v/>
      </c>
      <c r="O24" s="17">
        <f>IF($B24="","",IF(L24="","אין מצאי",IF(K24&lt;L24,"חוסר",IF(K24&gt;L24,"עודף","תקין"))))</f>
        <v/>
      </c>
      <c r="P24" s="16" t="inlineStr"/>
      <c r="Q24" s="23">
        <f>IF(O24="חוסר",M24-ROW()/100000,IF(O24="עודף",M24+ROW()/100000,""))</f>
        <v/>
      </c>
    </row>
    <row r="25">
      <c r="A25" s="16" t="inlineStr">
        <is>
          <t>אמר"לים ותצפית</t>
        </is>
      </c>
      <c r="B25" s="21" t="inlineStr">
        <is>
          <t>אמצעי זיהוי תהל</t>
        </is>
      </c>
      <c r="C25" s="17" t="n">
        <v>0</v>
      </c>
      <c r="D25" s="17" t="n">
        <v>0</v>
      </c>
      <c r="E25" s="17" t="n">
        <v>2</v>
      </c>
      <c r="F25" s="17" t="n">
        <v>1</v>
      </c>
      <c r="G25" s="17" t="n"/>
      <c r="H25" s="17" t="n"/>
      <c r="I25" s="17" t="n"/>
      <c r="J25" s="17" t="n">
        <v>3</v>
      </c>
      <c r="K25" s="17">
        <f>IF($B25="","",SUM(C25:J25))</f>
        <v/>
      </c>
      <c r="L25" s="17" t="n">
        <v>55</v>
      </c>
      <c r="M25" s="17">
        <f>IF(OR($B25="",L25=""),"",K25-L25)</f>
        <v/>
      </c>
      <c r="N25" s="22">
        <f>IF(OR($B25="",L25="",L25=0),"",K25/L25)</f>
        <v/>
      </c>
      <c r="O25" s="17">
        <f>IF($B25="","",IF(L25="","אין מצאי",IF(K25&lt;L25,"חוסר",IF(K25&gt;L25,"עודף","תקין"))))</f>
        <v/>
      </c>
      <c r="P25" s="16" t="inlineStr"/>
      <c r="Q25" s="23">
        <f>IF(O25="חוסר",M25-ROW()/100000,IF(O25="עודף",M25+ROW()/100000,""))</f>
        <v/>
      </c>
    </row>
    <row r="26">
      <c r="A26" s="16" t="inlineStr">
        <is>
          <t>אמר"לים ותצפית</t>
        </is>
      </c>
      <c r="B26" s="21" t="inlineStr">
        <is>
          <t>אמר"ל אקילה 6*</t>
        </is>
      </c>
      <c r="C26" s="17" t="n"/>
      <c r="D26" s="17" t="n"/>
      <c r="E26" s="17" t="n"/>
      <c r="F26" s="17" t="n">
        <v>8</v>
      </c>
      <c r="G26" s="17" t="n"/>
      <c r="H26" s="17" t="n"/>
      <c r="I26" s="17" t="n"/>
      <c r="J26" s="17" t="n"/>
      <c r="K26" s="17">
        <f>IF($B26="","",SUM(C26:J26))</f>
        <v/>
      </c>
      <c r="L26" s="17" t="n">
        <v>8</v>
      </c>
      <c r="M26" s="17">
        <f>IF(OR($B26="",L26=""),"",K26-L26)</f>
        <v/>
      </c>
      <c r="N26" s="22">
        <f>IF(OR($B26="",L26="",L26=0),"",K26/L26)</f>
        <v/>
      </c>
      <c r="O26" s="17">
        <f>IF($B26="","",IF(L26="","אין מצאי",IF(K26&lt;L26,"חוסר",IF(K26&gt;L26,"עודף","תקין"))))</f>
        <v/>
      </c>
      <c r="P26" s="16" t="inlineStr"/>
      <c r="Q26" s="23">
        <f>IF(O26="חוסר",M26-ROW()/100000,IF(O26="עודף",M26+ROW()/100000,""))</f>
        <v/>
      </c>
    </row>
    <row r="27">
      <c r="A27" s="16" t="inlineStr">
        <is>
          <t>אמר"לים ותצפית</t>
        </is>
      </c>
      <c r="B27" s="21" t="inlineStr">
        <is>
          <t>אמר"ל דו עיני מיקרון</t>
        </is>
      </c>
      <c r="C27" s="17" t="n"/>
      <c r="D27" s="17" t="n"/>
      <c r="E27" s="17" t="n"/>
      <c r="F27" s="17" t="n"/>
      <c r="G27" s="17" t="n"/>
      <c r="H27" s="17" t="n"/>
      <c r="I27" s="17" t="n"/>
      <c r="J27" s="17" t="n">
        <v>8</v>
      </c>
      <c r="K27" s="17">
        <f>IF($B27="","",SUM(C27:J27))</f>
        <v/>
      </c>
      <c r="L27" s="17" t="n"/>
      <c r="M27" s="17">
        <f>IF(OR($B27="",L27=""),"",K27-L27)</f>
        <v/>
      </c>
      <c r="N27" s="22">
        <f>IF(OR($B27="",L27="",L27=0),"",K27/L27)</f>
        <v/>
      </c>
      <c r="O27" s="17">
        <f>IF($B27="","",IF(L27="","אין מצאי",IF(K27&lt;L27,"חוסר",IF(K27&gt;L27,"עודף","תקין"))))</f>
        <v/>
      </c>
      <c r="P27" s="16" t="inlineStr"/>
      <c r="Q27" s="23">
        <f>IF(O27="חוסר",M27-ROW()/100000,IF(O27="עודף",M27+ROW()/100000,""))</f>
        <v/>
      </c>
    </row>
    <row r="28">
      <c r="A28" s="16" t="inlineStr">
        <is>
          <t>אמר"לים ותצפית</t>
        </is>
      </c>
      <c r="B28" s="21" t="inlineStr">
        <is>
          <t>אמר"ל דו עיני עדי</t>
        </is>
      </c>
      <c r="C28" s="17" t="n">
        <v>2</v>
      </c>
      <c r="D28" s="17" t="n">
        <v>3</v>
      </c>
      <c r="E28" s="17" t="n">
        <v>3</v>
      </c>
      <c r="F28" s="17" t="n">
        <v>3</v>
      </c>
      <c r="G28" s="17" t="n">
        <v>12</v>
      </c>
      <c r="H28" s="17" t="n"/>
      <c r="I28" s="17" t="n"/>
      <c r="J28" s="17" t="n">
        <v>7</v>
      </c>
      <c r="K28" s="17">
        <f>IF($B28="","",SUM(C28:J28))</f>
        <v/>
      </c>
      <c r="L28" s="17" t="n">
        <v>30</v>
      </c>
      <c r="M28" s="17">
        <f>IF(OR($B28="",L28=""),"",K28-L28)</f>
        <v/>
      </c>
      <c r="N28" s="22">
        <f>IF(OR($B28="",L28="",L28=0),"",K28/L28)</f>
        <v/>
      </c>
      <c r="O28" s="17">
        <f>IF($B28="","",IF(L28="","אין מצאי",IF(K28&lt;L28,"חוסר",IF(K28&gt;L28,"עודף","תקין"))))</f>
        <v/>
      </c>
      <c r="P28" s="16" t="inlineStr"/>
      <c r="Q28" s="23">
        <f>IF(O28="חוסר",M28-ROW()/100000,IF(O28="עודף",M28+ROW()/100000,""))</f>
        <v/>
      </c>
    </row>
    <row r="29">
      <c r="A29" s="16" t="inlineStr">
        <is>
          <t>אמר"לים ותצפית</t>
        </is>
      </c>
      <c r="B29" s="21" t="inlineStr">
        <is>
          <t>אמר"ל דו עיני עידו</t>
        </is>
      </c>
      <c r="C29" s="17" t="n">
        <v>2</v>
      </c>
      <c r="D29" s="17" t="n">
        <v>2</v>
      </c>
      <c r="E29" s="17" t="n">
        <v>2</v>
      </c>
      <c r="F29" s="17" t="n">
        <v>2</v>
      </c>
      <c r="G29" s="17" t="n">
        <v>6</v>
      </c>
      <c r="H29" s="17" t="n">
        <v>2</v>
      </c>
      <c r="I29" s="17" t="n"/>
      <c r="J29" s="17" t="n">
        <v>0</v>
      </c>
      <c r="K29" s="17">
        <f>IF($B29="","",SUM(C29:J29))</f>
        <v/>
      </c>
      <c r="L29" s="17" t="n">
        <v>17</v>
      </c>
      <c r="M29" s="17">
        <f>IF(OR($B29="",L29=""),"",K29-L29)</f>
        <v/>
      </c>
      <c r="N29" s="22">
        <f>IF(OR($B29="",L29="",L29=0),"",K29/L29)</f>
        <v/>
      </c>
      <c r="O29" s="17">
        <f>IF($B29="","",IF(L29="","אין מצאי",IF(K29&lt;L29,"חוסר",IF(K29&gt;L29,"עודף","תקין"))))</f>
        <v/>
      </c>
      <c r="P29" s="16" t="inlineStr"/>
      <c r="Q29" s="23">
        <f>IF(O29="חוסר",M29-ROW()/100000,IF(O29="עודף",M29+ROW()/100000,""))</f>
        <v/>
      </c>
    </row>
    <row r="30">
      <c r="A30" s="16" t="inlineStr">
        <is>
          <t>אמר"לים ותצפית</t>
        </is>
      </c>
      <c r="B30" s="21" t="inlineStr">
        <is>
          <t>אמר"ל שח"מ</t>
        </is>
      </c>
      <c r="C30" s="17" t="n">
        <v>13</v>
      </c>
      <c r="D30" s="17" t="n">
        <v>18</v>
      </c>
      <c r="E30" s="17" t="n">
        <v>16</v>
      </c>
      <c r="F30" s="17" t="n">
        <v>12</v>
      </c>
      <c r="G30" s="17" t="n">
        <v>0</v>
      </c>
      <c r="H30" s="17" t="n">
        <v>1</v>
      </c>
      <c r="I30" s="17" t="n"/>
      <c r="J30" s="17" t="n">
        <v>13</v>
      </c>
      <c r="K30" s="17">
        <f>IF($B30="","",SUM(C30:J30))</f>
        <v/>
      </c>
      <c r="L30" s="17" t="n">
        <v>55</v>
      </c>
      <c r="M30" s="17">
        <f>IF(OR($B30="",L30=""),"",K30-L30)</f>
        <v/>
      </c>
      <c r="N30" s="22">
        <f>IF(OR($B30="",L30="",L30=0),"",K30/L30)</f>
        <v/>
      </c>
      <c r="O30" s="17">
        <f>IF($B30="","",IF(L30="","אין מצאי",IF(K30&lt;L30,"חוסר",IF(K30&gt;L30,"עודף","תקין"))))</f>
        <v/>
      </c>
      <c r="P30" s="16" t="inlineStr"/>
      <c r="Q30" s="23">
        <f>IF(O30="חוסר",M30-ROW()/100000,IF(O30="עודף",M30+ROW()/100000,""))</f>
        <v/>
      </c>
    </row>
    <row r="31">
      <c r="A31" s="16" t="inlineStr">
        <is>
          <t>אמר"לים ותצפית</t>
        </is>
      </c>
      <c r="B31" s="21" t="inlineStr">
        <is>
          <t>אמר"ל שח"ע</t>
        </is>
      </c>
      <c r="C31" s="17" t="n">
        <v>7</v>
      </c>
      <c r="D31" s="17" t="n">
        <v>10</v>
      </c>
      <c r="E31" s="17" t="n">
        <v>7</v>
      </c>
      <c r="F31" s="17" t="n">
        <v>8</v>
      </c>
      <c r="G31" s="17" t="n">
        <v>3</v>
      </c>
      <c r="H31" s="17" t="n">
        <v>4</v>
      </c>
      <c r="I31" s="17" t="n"/>
      <c r="J31" s="17" t="n">
        <v>8</v>
      </c>
      <c r="K31" s="17">
        <f>IF($B31="","",SUM(C31:J31))</f>
        <v/>
      </c>
      <c r="L31" s="17" t="n">
        <v>47</v>
      </c>
      <c r="M31" s="17">
        <f>IF(OR($B31="",L31=""),"",K31-L31)</f>
        <v/>
      </c>
      <c r="N31" s="22">
        <f>IF(OR($B31="",L31="",L31=0),"",K31/L31)</f>
        <v/>
      </c>
      <c r="O31" s="17">
        <f>IF($B31="","",IF(L31="","אין מצאי",IF(K31&lt;L31,"חוסר",IF(K31&gt;L31,"עודף","תקין"))))</f>
        <v/>
      </c>
      <c r="P31" s="16" t="inlineStr"/>
      <c r="Q31" s="23">
        <f>IF(O31="חוסר",M31-ROW()/100000,IF(O31="עודף",M31+ROW()/100000,""))</f>
        <v/>
      </c>
    </row>
    <row r="32">
      <c r="A32" s="16" t="inlineStr">
        <is>
          <t>אמר"לים ותצפית</t>
        </is>
      </c>
      <c r="B32" s="21" t="inlineStr">
        <is>
          <t>חצובה למאתר</t>
        </is>
      </c>
      <c r="C32" s="17" t="n"/>
      <c r="D32" s="17" t="n"/>
      <c r="E32" s="17" t="n"/>
      <c r="F32" s="17" t="n">
        <v>7</v>
      </c>
      <c r="G32" s="17" t="n"/>
      <c r="H32" s="17" t="n"/>
      <c r="I32" s="17" t="n"/>
      <c r="J32" s="17" t="n"/>
      <c r="K32" s="17">
        <f>IF($B32="","",SUM(C32:J32))</f>
        <v/>
      </c>
      <c r="L32" s="17" t="n"/>
      <c r="M32" s="17">
        <f>IF(OR($B32="",L32=""),"",K32-L32)</f>
        <v/>
      </c>
      <c r="N32" s="22">
        <f>IF(OR($B32="",L32="",L32=0),"",K32/L32)</f>
        <v/>
      </c>
      <c r="O32" s="17">
        <f>IF($B32="","",IF(L32="","אין מצאי",IF(K32&lt;L32,"חוסר",IF(K32&gt;L32,"עודף","תקין"))))</f>
        <v/>
      </c>
      <c r="P32" s="16" t="inlineStr"/>
      <c r="Q32" s="23">
        <f>IF(O32="חוסר",M32-ROW()/100000,IF(O32="עודף",M32+ROW()/100000,""))</f>
        <v/>
      </c>
    </row>
    <row r="33">
      <c r="A33" s="16" t="inlineStr">
        <is>
          <t>אמר"לים ותצפית</t>
        </is>
      </c>
      <c r="B33" s="21" t="inlineStr">
        <is>
          <t>חצובה לעמית</t>
        </is>
      </c>
      <c r="C33" s="17" t="n">
        <v>1</v>
      </c>
      <c r="D33" s="17" t="n"/>
      <c r="E33" s="17" t="n"/>
      <c r="F33" s="17" t="n"/>
      <c r="G33" s="17" t="n"/>
      <c r="H33" s="17" t="n"/>
      <c r="I33" s="17" t="n"/>
      <c r="J33" s="17" t="n">
        <v>6</v>
      </c>
      <c r="K33" s="17">
        <f>IF($B33="","",SUM(C33:J33))</f>
        <v/>
      </c>
      <c r="L33" s="17" t="n"/>
      <c r="M33" s="17">
        <f>IF(OR($B33="",L33=""),"",K33-L33)</f>
        <v/>
      </c>
      <c r="N33" s="22">
        <f>IF(OR($B33="",L33="",L33=0),"",K33/L33)</f>
        <v/>
      </c>
      <c r="O33" s="17">
        <f>IF($B33="","",IF(L33="","אין מצאי",IF(K33&lt;L33,"חוסר",IF(K33&gt;L33,"עודף","תקין"))))</f>
        <v/>
      </c>
      <c r="P33" s="16" t="inlineStr"/>
      <c r="Q33" s="23">
        <f>IF(O33="חוסר",M33-ROW()/100000,IF(O33="עודף",M33+ROW()/100000,""))</f>
        <v/>
      </c>
    </row>
    <row r="34">
      <c r="A34" s="16" t="inlineStr">
        <is>
          <t>אמר"לים ותצפית</t>
        </is>
      </c>
      <c r="B34" s="21" t="inlineStr">
        <is>
          <t>ישל"ט אורלי גיל</t>
        </is>
      </c>
      <c r="C34" s="17" t="n"/>
      <c r="D34" s="17" t="n"/>
      <c r="E34" s="17" t="n"/>
      <c r="F34" s="17" t="n">
        <v>2</v>
      </c>
      <c r="G34" s="17" t="n"/>
      <c r="H34" s="17" t="n"/>
      <c r="I34" s="17" t="n"/>
      <c r="J34" s="17" t="n"/>
      <c r="K34" s="17">
        <f>IF($B34="","",SUM(C34:J34))</f>
        <v/>
      </c>
      <c r="L34" s="17" t="n">
        <v>2</v>
      </c>
      <c r="M34" s="17">
        <f>IF(OR($B34="",L34=""),"",K34-L34)</f>
        <v/>
      </c>
      <c r="N34" s="22">
        <f>IF(OR($B34="",L34="",L34=0),"",K34/L34)</f>
        <v/>
      </c>
      <c r="O34" s="17">
        <f>IF($B34="","",IF(L34="","אין מצאי",IF(K34&lt;L34,"חוסר",IF(K34&gt;L34,"עודף","תקין"))))</f>
        <v/>
      </c>
      <c r="P34" s="16" t="inlineStr"/>
      <c r="Q34" s="23">
        <f>IF(O34="חוסר",M34-ROW()/100000,IF(O34="עודף",M34+ROW()/100000,""))</f>
        <v/>
      </c>
    </row>
    <row r="35">
      <c r="A35" s="16" t="inlineStr">
        <is>
          <t>אמר"לים ותצפית</t>
        </is>
      </c>
      <c r="B35" s="21" t="inlineStr">
        <is>
          <t>ליאור</t>
        </is>
      </c>
      <c r="C35" s="17" t="n">
        <v>10</v>
      </c>
      <c r="D35" s="17" t="n">
        <v>11</v>
      </c>
      <c r="E35" s="17" t="n">
        <v>8</v>
      </c>
      <c r="F35" s="17" t="n">
        <v>8</v>
      </c>
      <c r="G35" s="17" t="n">
        <v>4</v>
      </c>
      <c r="H35" s="17" t="n"/>
      <c r="I35" s="17" t="n"/>
      <c r="J35" s="17" t="n">
        <v>4</v>
      </c>
      <c r="K35" s="17">
        <f>IF($B35="","",SUM(C35:J35))</f>
        <v/>
      </c>
      <c r="L35" s="17" t="n">
        <v>57</v>
      </c>
      <c r="M35" s="17">
        <f>IF(OR($B35="",L35=""),"",K35-L35)</f>
        <v/>
      </c>
      <c r="N35" s="22">
        <f>IF(OR($B35="",L35="",L35=0),"",K35/L35)</f>
        <v/>
      </c>
      <c r="O35" s="17">
        <f>IF($B35="","",IF(L35="","אין מצאי",IF(K35&lt;L35,"חוסר",IF(K35&gt;L35,"עודף","תקין"))))</f>
        <v/>
      </c>
      <c r="P35" s="16" t="inlineStr"/>
      <c r="Q35" s="23">
        <f>IF(O35="חוסר",M35-ROW()/100000,IF(O35="עודף",M35+ROW()/100000,""))</f>
        <v/>
      </c>
    </row>
    <row r="36">
      <c r="A36" s="16" t="inlineStr">
        <is>
          <t>אמר"לים ותצפית</t>
        </is>
      </c>
      <c r="B36" s="21" t="inlineStr">
        <is>
          <t>מאתר</t>
        </is>
      </c>
      <c r="C36" s="17" t="n"/>
      <c r="D36" s="17" t="n"/>
      <c r="E36" s="17" t="n"/>
      <c r="F36" s="17" t="n">
        <v>10</v>
      </c>
      <c r="G36" s="17" t="n"/>
      <c r="H36" s="17" t="n"/>
      <c r="I36" s="17" t="n"/>
      <c r="J36" s="17" t="n"/>
      <c r="K36" s="17">
        <f>IF($B36="","",SUM(C36:J36))</f>
        <v/>
      </c>
      <c r="L36" s="17" t="n"/>
      <c r="M36" s="17">
        <f>IF(OR($B36="",L36=""),"",K36-L36)</f>
        <v/>
      </c>
      <c r="N36" s="22">
        <f>IF(OR($B36="",L36="",L36=0),"",K36/L36)</f>
        <v/>
      </c>
      <c r="O36" s="17">
        <f>IF($B36="","",IF(L36="","אין מצאי",IF(K36&lt;L36,"חוסר",IF(K36&gt;L36,"עודף","תקין"))))</f>
        <v/>
      </c>
      <c r="P36" s="16" t="inlineStr"/>
      <c r="Q36" s="23">
        <f>IF(O36="חוסר",M36-ROW()/100000,IF(O36="עודף",M36+ROW()/100000,""))</f>
        <v/>
      </c>
    </row>
    <row r="37">
      <c r="A37" s="16" t="inlineStr">
        <is>
          <t>אמר"לים ותצפית</t>
        </is>
      </c>
      <c r="B37" s="21" t="inlineStr">
        <is>
          <t>מיני תבל נשלט</t>
        </is>
      </c>
      <c r="C37" s="17" t="n"/>
      <c r="D37" s="17" t="n"/>
      <c r="E37" s="17" t="n"/>
      <c r="F37" s="17" t="n">
        <v>1</v>
      </c>
      <c r="G37" s="17" t="n"/>
      <c r="H37" s="17" t="n"/>
      <c r="I37" s="17" t="n"/>
      <c r="J37" s="17" t="n"/>
      <c r="K37" s="17">
        <f>IF($B37="","",SUM(C37:J37))</f>
        <v/>
      </c>
      <c r="L37" s="17" t="n">
        <v>1</v>
      </c>
      <c r="M37" s="17">
        <f>IF(OR($B37="",L37=""),"",K37-L37)</f>
        <v/>
      </c>
      <c r="N37" s="22">
        <f>IF(OR($B37="",L37="",L37=0),"",K37/L37)</f>
        <v/>
      </c>
      <c r="O37" s="17">
        <f>IF($B37="","",IF(L37="","אין מצאי",IF(K37&lt;L37,"חוסר",IF(K37&gt;L37,"עודף","תקין"))))</f>
        <v/>
      </c>
      <c r="P37" s="16" t="inlineStr"/>
      <c r="Q37" s="23">
        <f>IF(O37="חוסר",M37-ROW()/100000,IF(O37="עודף",M37+ROW()/100000,""))</f>
        <v/>
      </c>
    </row>
    <row r="38">
      <c r="A38" s="16" t="inlineStr">
        <is>
          <t>אמר"לים ותצפית</t>
        </is>
      </c>
      <c r="B38" s="21" t="inlineStr">
        <is>
          <t>מכבים</t>
        </is>
      </c>
      <c r="C38" s="17" t="n">
        <v>2</v>
      </c>
      <c r="D38" s="17" t="n">
        <v>3</v>
      </c>
      <c r="E38" s="17" t="n">
        <v>3</v>
      </c>
      <c r="F38" s="17" t="n">
        <v>3</v>
      </c>
      <c r="G38" s="17" t="n">
        <v>1</v>
      </c>
      <c r="H38" s="17" t="n"/>
      <c r="I38" s="17" t="n"/>
      <c r="J38" s="17" t="n">
        <v>1</v>
      </c>
      <c r="K38" s="17">
        <f>IF($B38="","",SUM(C38:J38))</f>
        <v/>
      </c>
      <c r="L38" s="17" t="n">
        <v>13</v>
      </c>
      <c r="M38" s="17">
        <f>IF(OR($B38="",L38=""),"",K38-L38)</f>
        <v/>
      </c>
      <c r="N38" s="22">
        <f>IF(OR($B38="",L38="",L38=0),"",K38/L38)</f>
        <v/>
      </c>
      <c r="O38" s="17">
        <f>IF($B38="","",IF(L38="","אין מצאי",IF(K38&lt;L38,"חוסר",IF(K38&gt;L38,"עודף","תקין"))))</f>
        <v/>
      </c>
      <c r="P38" s="16" t="inlineStr"/>
      <c r="Q38" s="23">
        <f>IF(O38="חוסר",M38-ROW()/100000,IF(O38="עודף",M38+ROW()/100000,""))</f>
        <v/>
      </c>
    </row>
    <row r="39">
      <c r="A39" s="16" t="inlineStr">
        <is>
          <t>אמר"לים ותצפית</t>
        </is>
      </c>
      <c r="B39" s="21" t="inlineStr">
        <is>
          <t>מכבית</t>
        </is>
      </c>
      <c r="C39" s="17" t="n">
        <v>2</v>
      </c>
      <c r="D39" s="17" t="n">
        <v>2</v>
      </c>
      <c r="E39" s="17" t="n">
        <v>2</v>
      </c>
      <c r="F39" s="17" t="n">
        <v>2</v>
      </c>
      <c r="G39" s="17" t="n"/>
      <c r="H39" s="17" t="n"/>
      <c r="I39" s="17" t="n"/>
      <c r="J39" s="17" t="n">
        <v>4</v>
      </c>
      <c r="K39" s="17">
        <f>IF($B39="","",SUM(C39:J39))</f>
        <v/>
      </c>
      <c r="L39" s="17" t="n">
        <v>14</v>
      </c>
      <c r="M39" s="17">
        <f>IF(OR($B39="",L39=""),"",K39-L39)</f>
        <v/>
      </c>
      <c r="N39" s="22">
        <f>IF(OR($B39="",L39="",L39=0),"",K39/L39)</f>
        <v/>
      </c>
      <c r="O39" s="17">
        <f>IF($B39="","",IF(L39="","אין מצאי",IF(K39&lt;L39,"חוסר",IF(K39&gt;L39,"עודף","תקין"))))</f>
        <v/>
      </c>
      <c r="P39" s="16" t="inlineStr"/>
      <c r="Q39" s="23">
        <f>IF(O39="חוסר",M39-ROW()/100000,IF(O39="עודף",M39+ROW()/100000,""))</f>
        <v/>
      </c>
    </row>
    <row r="40">
      <c r="A40" s="16" t="inlineStr">
        <is>
          <t>אמר"לים ותצפית</t>
        </is>
      </c>
      <c r="B40" s="21" t="inlineStr">
        <is>
          <t>מצפן</t>
        </is>
      </c>
      <c r="C40" s="17" t="n">
        <v>6</v>
      </c>
      <c r="D40" s="17" t="n">
        <v>9</v>
      </c>
      <c r="E40" s="17" t="n">
        <v>6</v>
      </c>
      <c r="F40" s="17" t="n">
        <v>13</v>
      </c>
      <c r="G40" s="17" t="n"/>
      <c r="H40" s="17" t="n">
        <v>5</v>
      </c>
      <c r="I40" s="17" t="n"/>
      <c r="J40" s="17" t="n">
        <v>60</v>
      </c>
      <c r="K40" s="17">
        <f>IF($B40="","",SUM(C40:J40))</f>
        <v/>
      </c>
      <c r="L40" s="17" t="n"/>
      <c r="M40" s="17">
        <f>IF(OR($B40="",L40=""),"",K40-L40)</f>
        <v/>
      </c>
      <c r="N40" s="22">
        <f>IF(OR($B40="",L40="",L40=0),"",K40/L40)</f>
        <v/>
      </c>
      <c r="O40" s="17">
        <f>IF($B40="","",IF(L40="","אין מצאי",IF(K40&lt;L40,"חוסר",IF(K40&gt;L40,"עודף","תקין"))))</f>
        <v/>
      </c>
      <c r="P40" s="16" t="inlineStr"/>
      <c r="Q40" s="23">
        <f>IF(O40="חוסר",M40-ROW()/100000,IF(O40="עודף",M40+ROW()/100000,""))</f>
        <v/>
      </c>
    </row>
    <row r="41">
      <c r="A41" s="16" t="inlineStr">
        <is>
          <t>אמר"לים ותצפית</t>
        </is>
      </c>
      <c r="B41" s="21" t="inlineStr">
        <is>
          <t>משקפת</t>
        </is>
      </c>
      <c r="C41" s="17" t="n">
        <v>6</v>
      </c>
      <c r="D41" s="17" t="n">
        <v>10</v>
      </c>
      <c r="E41" s="17" t="n">
        <v>7</v>
      </c>
      <c r="F41" s="17" t="n">
        <v>11</v>
      </c>
      <c r="G41" s="17" t="n">
        <v>1</v>
      </c>
      <c r="H41" s="17" t="n">
        <v>3</v>
      </c>
      <c r="I41" s="17" t="n"/>
      <c r="J41" s="17" t="n">
        <v>66</v>
      </c>
      <c r="K41" s="17">
        <f>IF($B41="","",SUM(C41:J41))</f>
        <v/>
      </c>
      <c r="L41" s="17" t="n"/>
      <c r="M41" s="17">
        <f>IF(OR($B41="",L41=""),"",K41-L41)</f>
        <v/>
      </c>
      <c r="N41" s="22">
        <f>IF(OR($B41="",L41="",L41=0),"",K41/L41)</f>
        <v/>
      </c>
      <c r="O41" s="17">
        <f>IF($B41="","",IF(L41="","אין מצאי",IF(K41&lt;L41,"חוסר",IF(K41&gt;L41,"עודף","תקין"))))</f>
        <v/>
      </c>
      <c r="P41" s="16" t="inlineStr"/>
      <c r="Q41" s="23">
        <f>IF(O41="חוסר",M41-ROW()/100000,IF(O41="עודף",M41+ROW()/100000,""))</f>
        <v/>
      </c>
    </row>
    <row r="42">
      <c r="A42" s="16" t="inlineStr">
        <is>
          <t>אמר"לים ותצפית</t>
        </is>
      </c>
      <c r="B42" s="21" t="inlineStr">
        <is>
          <t>עמית</t>
        </is>
      </c>
      <c r="C42" s="17" t="n">
        <v>1</v>
      </c>
      <c r="D42" s="17" t="n">
        <v>2</v>
      </c>
      <c r="E42" s="17" t="n">
        <v>1</v>
      </c>
      <c r="F42" s="17" t="n">
        <v>1</v>
      </c>
      <c r="G42" s="17" t="n"/>
      <c r="H42" s="17" t="n"/>
      <c r="I42" s="17" t="n"/>
      <c r="J42" s="17" t="n">
        <v>1</v>
      </c>
      <c r="K42" s="17">
        <f>IF($B42="","",SUM(C42:J42))</f>
        <v/>
      </c>
      <c r="L42" s="17" t="n">
        <v>6</v>
      </c>
      <c r="M42" s="17">
        <f>IF(OR($B42="",L42=""),"",K42-L42)</f>
        <v/>
      </c>
      <c r="N42" s="22">
        <f>IF(OR($B42="",L42="",L42=0),"",K42/L42)</f>
        <v/>
      </c>
      <c r="O42" s="17">
        <f>IF($B42="","",IF(L42="","אין מצאי",IF(K42&lt;L42,"חוסר",IF(K42&gt;L42,"עודף","תקין"))))</f>
        <v/>
      </c>
      <c r="P42" s="16" t="inlineStr"/>
      <c r="Q42" s="23">
        <f>IF(O42="חוסר",M42-ROW()/100000,IF(O42="עודף",M42+ROW()/100000,""))</f>
        <v/>
      </c>
    </row>
    <row r="43">
      <c r="A43" s="16" t="inlineStr">
        <is>
          <t>אמר"לים ותצפית</t>
        </is>
      </c>
      <c r="B43" s="21" t="inlineStr">
        <is>
          <t>עמית איכון</t>
        </is>
      </c>
      <c r="C43" s="17" t="n"/>
      <c r="D43" s="17" t="n"/>
      <c r="E43" s="17" t="n"/>
      <c r="F43" s="17" t="n">
        <v>1</v>
      </c>
      <c r="G43" s="17" t="n"/>
      <c r="H43" s="17" t="n"/>
      <c r="I43" s="17" t="n"/>
      <c r="J43" s="17" t="n">
        <v>1</v>
      </c>
      <c r="K43" s="17">
        <f>IF($B43="","",SUM(C43:J43))</f>
        <v/>
      </c>
      <c r="L43" s="17" t="n">
        <v>2</v>
      </c>
      <c r="M43" s="17">
        <f>IF(OR($B43="",L43=""),"",K43-L43)</f>
        <v/>
      </c>
      <c r="N43" s="22">
        <f>IF(OR($B43="",L43="",L43=0),"",K43/L43)</f>
        <v/>
      </c>
      <c r="O43" s="17">
        <f>IF($B43="","",IF(L43="","אין מצאי",IF(K43&lt;L43,"חוסר",IF(K43&gt;L43,"עודף","תקין"))))</f>
        <v/>
      </c>
      <c r="P43" s="16" t="inlineStr"/>
      <c r="Q43" s="23">
        <f>IF(O43="חוסר",M43-ROW()/100000,IF(O43="עודף",M43+ROW()/100000,""))</f>
        <v/>
      </c>
    </row>
    <row r="44">
      <c r="A44" s="16" t="inlineStr">
        <is>
          <t>אמר"לים ותצפית</t>
        </is>
      </c>
      <c r="B44" s="21" t="inlineStr">
        <is>
          <t>ערמון</t>
        </is>
      </c>
      <c r="C44" s="17" t="n">
        <v>1</v>
      </c>
      <c r="D44" s="17" t="n"/>
      <c r="E44" s="17" t="n"/>
      <c r="F44" s="17" t="n"/>
      <c r="G44" s="17" t="n">
        <v>1</v>
      </c>
      <c r="H44" s="17" t="n"/>
      <c r="I44" s="17" t="n"/>
      <c r="J44" s="17" t="n"/>
      <c r="K44" s="17">
        <f>IF($B44="","",SUM(C44:J44))</f>
        <v/>
      </c>
      <c r="L44" s="17" t="n">
        <v>2</v>
      </c>
      <c r="M44" s="17">
        <f>IF(OR($B44="",L44=""),"",K44-L44)</f>
        <v/>
      </c>
      <c r="N44" s="22">
        <f>IF(OR($B44="",L44="",L44=0),"",K44/L44)</f>
        <v/>
      </c>
      <c r="O44" s="17">
        <f>IF($B44="","",IF(L44="","אין מצאי",IF(K44&lt;L44,"חוסר",IF(K44&gt;L44,"עודף","תקין"))))</f>
        <v/>
      </c>
      <c r="P44" s="16" t="inlineStr"/>
      <c r="Q44" s="23">
        <f>IF(O44="חוסר",M44-ROW()/100000,IF(O44="עודף",M44+ROW()/100000,""))</f>
        <v/>
      </c>
    </row>
    <row r="45">
      <c r="A45" s="16" t="inlineStr">
        <is>
          <t>אמר"לים ותצפית</t>
        </is>
      </c>
      <c r="B45" s="21" t="inlineStr">
        <is>
          <t>שבשבת רוח</t>
        </is>
      </c>
      <c r="C45" s="17" t="n"/>
      <c r="D45" s="17" t="n"/>
      <c r="E45" s="17" t="n"/>
      <c r="F45" s="17" t="n">
        <v>5</v>
      </c>
      <c r="G45" s="17" t="n"/>
      <c r="H45" s="17" t="n"/>
      <c r="I45" s="17" t="n"/>
      <c r="J45" s="17" t="n"/>
      <c r="K45" s="17">
        <f>IF($B45="","",SUM(C45:J45))</f>
        <v/>
      </c>
      <c r="L45" s="17" t="n"/>
      <c r="M45" s="17">
        <f>IF(OR($B45="",L45=""),"",K45-L45)</f>
        <v/>
      </c>
      <c r="N45" s="22">
        <f>IF(OR($B45="",L45="",L45=0),"",K45/L45)</f>
        <v/>
      </c>
      <c r="O45" s="17">
        <f>IF($B45="","",IF(L45="","אין מצאי",IF(K45&lt;L45,"חוסר",IF(K45&gt;L45,"עודף","תקין"))))</f>
        <v/>
      </c>
      <c r="P45" s="16" t="inlineStr"/>
      <c r="Q45" s="23">
        <f>IF(O45="חוסר",M45-ROW()/100000,IF(O45="עודף",M45+ROW()/100000,""))</f>
        <v/>
      </c>
    </row>
    <row r="46">
      <c r="A46" s="16" t="inlineStr">
        <is>
          <t>סמנים ומציינים</t>
        </is>
      </c>
      <c r="B46" s="21" t="inlineStr">
        <is>
          <t>סמן לייזר למפקד דיויד</t>
        </is>
      </c>
      <c r="C46" s="17" t="n"/>
      <c r="D46" s="17" t="n">
        <v>2</v>
      </c>
      <c r="E46" s="17" t="n">
        <v>1</v>
      </c>
      <c r="F46" s="17" t="n">
        <v>1</v>
      </c>
      <c r="G46" s="17" t="n"/>
      <c r="H46" s="17" t="n">
        <v>1</v>
      </c>
      <c r="I46" s="17" t="n"/>
      <c r="J46" s="17" t="n">
        <v>10</v>
      </c>
      <c r="K46" s="17">
        <f>IF($B46="","",SUM(C46:J46))</f>
        <v/>
      </c>
      <c r="L46" s="17" t="n">
        <v>16</v>
      </c>
      <c r="M46" s="17">
        <f>IF(OR($B46="",L46=""),"",K46-L46)</f>
        <v/>
      </c>
      <c r="N46" s="22">
        <f>IF(OR($B46="",L46="",L46=0),"",K46/L46)</f>
        <v/>
      </c>
      <c r="O46" s="17">
        <f>IF($B46="","",IF(L46="","אין מצאי",IF(K46&lt;L46,"חוסר",IF(K46&gt;L46,"עודף","תקין"))))</f>
        <v/>
      </c>
      <c r="P46" s="16" t="inlineStr"/>
      <c r="Q46" s="23">
        <f>IF(O46="חוסר",M46-ROW()/100000,IF(O46="עודף",M46+ROW()/100000,""))</f>
        <v/>
      </c>
    </row>
    <row r="47">
      <c r="A47" s="16" t="inlineStr">
        <is>
          <t>סמנים ומציינים</t>
        </is>
      </c>
      <c r="B47" s="21" t="inlineStr">
        <is>
          <t>סמן מפקדים LPL</t>
        </is>
      </c>
      <c r="C47" s="17" t="n"/>
      <c r="D47" s="17" t="n"/>
      <c r="E47" s="17" t="n"/>
      <c r="F47" s="17" t="n">
        <v>3</v>
      </c>
      <c r="G47" s="17" t="n"/>
      <c r="H47" s="17" t="n"/>
      <c r="I47" s="17" t="n"/>
      <c r="J47" s="17" t="n"/>
      <c r="K47" s="17">
        <f>IF($B47="","",SUM(C47:J47))</f>
        <v/>
      </c>
      <c r="L47" s="17" t="n">
        <v>3</v>
      </c>
      <c r="M47" s="17">
        <f>IF(OR($B47="",L47=""),"",K47-L47)</f>
        <v/>
      </c>
      <c r="N47" s="22">
        <f>IF(OR($B47="",L47="",L47=0),"",K47/L47)</f>
        <v/>
      </c>
      <c r="O47" s="17">
        <f>IF($B47="","",IF(L47="","אין מצאי",IF(K47&lt;L47,"חוסר",IF(K47&gt;L47,"עודף","תקין"))))</f>
        <v/>
      </c>
      <c r="P47" s="16" t="inlineStr"/>
      <c r="Q47" s="23">
        <f>IF(O47="חוסר",M47-ROW()/100000,IF(O47="עודף",M47+ROW()/100000,""))</f>
        <v/>
      </c>
    </row>
    <row r="48">
      <c r="A48" s="16" t="inlineStr">
        <is>
          <t>סמנים ומציינים</t>
        </is>
      </c>
      <c r="B48" s="21" t="inlineStr">
        <is>
          <t>סמן תרמי נטלי</t>
        </is>
      </c>
      <c r="C48" s="17" t="n">
        <v>1</v>
      </c>
      <c r="D48" s="17" t="n">
        <v>2</v>
      </c>
      <c r="E48" s="17" t="n">
        <v>0</v>
      </c>
      <c r="F48" s="17" t="n"/>
      <c r="G48" s="17" t="n"/>
      <c r="H48" s="17" t="n"/>
      <c r="I48" s="17" t="n"/>
      <c r="J48" s="17" t="n"/>
      <c r="K48" s="17">
        <f>IF($B48="","",SUM(C48:J48))</f>
        <v/>
      </c>
      <c r="L48" s="17" t="n">
        <v>3</v>
      </c>
      <c r="M48" s="17">
        <f>IF(OR($B48="",L48=""),"",K48-L48)</f>
        <v/>
      </c>
      <c r="N48" s="22">
        <f>IF(OR($B48="",L48="",L48=0),"",K48/L48)</f>
        <v/>
      </c>
      <c r="O48" s="17">
        <f>IF($B48="","",IF(L48="","אין מצאי",IF(K48&lt;L48,"חוסר",IF(K48&gt;L48,"עודף","תקין"))))</f>
        <v/>
      </c>
      <c r="P48" s="16" t="inlineStr"/>
      <c r="Q48" s="23">
        <f>IF(O48="חוסר",M48-ROW()/100000,IF(O48="עודף",M48+ROW()/100000,""))</f>
        <v/>
      </c>
    </row>
    <row r="49">
      <c r="A49" s="16" t="inlineStr">
        <is>
          <t>סמנים ומציינים</t>
        </is>
      </c>
      <c r="B49" s="21" t="inlineStr">
        <is>
          <t>ציין לנגב</t>
        </is>
      </c>
      <c r="C49" s="17" t="n">
        <v>1</v>
      </c>
      <c r="D49" s="17" t="n">
        <v>3</v>
      </c>
      <c r="E49" s="17" t="n"/>
      <c r="F49" s="17" t="n"/>
      <c r="G49" s="17" t="n"/>
      <c r="H49" s="17" t="n"/>
      <c r="I49" s="17" t="n"/>
      <c r="J49" s="17" t="n">
        <v>7</v>
      </c>
      <c r="K49" s="17">
        <f>IF($B49="","",SUM(C49:J49))</f>
        <v/>
      </c>
      <c r="L49" s="17" t="n">
        <v>31</v>
      </c>
      <c r="M49" s="17">
        <f>IF(OR($B49="",L49=""),"",K49-L49)</f>
        <v/>
      </c>
      <c r="N49" s="22">
        <f>IF(OR($B49="",L49="",L49=0),"",K49/L49)</f>
        <v/>
      </c>
      <c r="O49" s="17">
        <f>IF($B49="","",IF(L49="","אין מצאי",IF(K49&lt;L49,"חוסר",IF(K49&gt;L49,"עודף","תקין"))))</f>
        <v/>
      </c>
      <c r="P49" s="16" t="inlineStr"/>
      <c r="Q49" s="23">
        <f>IF(O49="חוסר",M49-ROW()/100000,IF(O49="עודף",M49+ROW()/100000,""))</f>
        <v/>
      </c>
    </row>
    <row r="50">
      <c r="A50" s="16" t="inlineStr">
        <is>
          <t>מט"ל ואבזור</t>
        </is>
      </c>
      <c r="B50" s="21" t="inlineStr">
        <is>
          <t>חצובה זיקית (אזרחי)</t>
        </is>
      </c>
      <c r="C50" s="17" t="n"/>
      <c r="D50" s="17" t="n"/>
      <c r="E50" s="17" t="n"/>
      <c r="F50" s="17" t="n">
        <v>4</v>
      </c>
      <c r="G50" s="17" t="n"/>
      <c r="H50" s="17" t="n"/>
      <c r="I50" s="17" t="n"/>
      <c r="J50" s="17" t="n"/>
      <c r="K50" s="17">
        <f>IF($B50="","",SUM(C50:J50))</f>
        <v/>
      </c>
      <c r="L50" s="17" t="n"/>
      <c r="M50" s="17">
        <f>IF(OR($B50="",L50=""),"",K50-L50)</f>
        <v/>
      </c>
      <c r="N50" s="22">
        <f>IF(OR($B50="",L50="",L50=0),"",K50/L50)</f>
        <v/>
      </c>
      <c r="O50" s="17">
        <f>IF($B50="","",IF(L50="","אין מצאי",IF(K50&lt;L50,"חוסר",IF(K50&gt;L50,"עודף","תקין"))))</f>
        <v/>
      </c>
      <c r="P50" s="16" t="inlineStr"/>
      <c r="Q50" s="23">
        <f>IF(O50="חוסר",M50-ROW()/100000,IF(O50="עודף",M50+ROW()/100000,""))</f>
        <v/>
      </c>
    </row>
    <row r="51">
      <c r="A51" s="16" t="inlineStr">
        <is>
          <t>מט"ל ואבזור</t>
        </is>
      </c>
      <c r="B51" s="21" t="inlineStr">
        <is>
          <t>חצובה לזום (אזרחי)</t>
        </is>
      </c>
      <c r="C51" s="17" t="n"/>
      <c r="D51" s="17" t="n"/>
      <c r="E51" s="17" t="n"/>
      <c r="F51" s="17" t="n">
        <v>11</v>
      </c>
      <c r="G51" s="17" t="n"/>
      <c r="H51" s="17" t="n"/>
      <c r="I51" s="17" t="n"/>
      <c r="J51" s="17" t="n"/>
      <c r="K51" s="17">
        <f>IF($B51="","",SUM(C51:J51))</f>
        <v/>
      </c>
      <c r="L51" s="17" t="n"/>
      <c r="M51" s="17">
        <f>IF(OR($B51="",L51=""),"",K51-L51)</f>
        <v/>
      </c>
      <c r="N51" s="22">
        <f>IF(OR($B51="",L51="",L51=0),"",K51/L51)</f>
        <v/>
      </c>
      <c r="O51" s="17">
        <f>IF($B51="","",IF(L51="","אין מצאי",IF(K51&lt;L51,"חוסר",IF(K51&gt;L51,"עודף","תקין"))))</f>
        <v/>
      </c>
      <c r="P51" s="16" t="inlineStr"/>
      <c r="Q51" s="23">
        <f>IF(O51="חוסר",M51-ROW()/100000,IF(O51="עודף",M51+ROW()/100000,""))</f>
        <v/>
      </c>
    </row>
    <row r="52">
      <c r="A52" s="16" t="inlineStr">
        <is>
          <t>מט"ל ואבזור</t>
        </is>
      </c>
      <c r="B52" s="21" t="inlineStr">
        <is>
          <t>חצובה מעגל סגור (אזרחי)</t>
        </is>
      </c>
      <c r="C52" s="17" t="n"/>
      <c r="D52" s="17" t="n"/>
      <c r="E52" s="17" t="n"/>
      <c r="F52" s="17" t="n">
        <v>6</v>
      </c>
      <c r="G52" s="17" t="n"/>
      <c r="H52" s="17" t="n"/>
      <c r="I52" s="17" t="n"/>
      <c r="J52" s="17" t="n"/>
      <c r="K52" s="17">
        <f>IF($B52="","",SUM(C52:J52))</f>
        <v/>
      </c>
      <c r="L52" s="17" t="n"/>
      <c r="M52" s="17">
        <f>IF(OR($B52="",L52=""),"",K52-L52)</f>
        <v/>
      </c>
      <c r="N52" s="22">
        <f>IF(OR($B52="",L52="",L52=0),"",K52/L52)</f>
        <v/>
      </c>
      <c r="O52" s="17">
        <f>IF($B52="","",IF(L52="","אין מצאי",IF(K52&lt;L52,"חוסר",IF(K52&gt;L52,"עודף","תקין"))))</f>
        <v/>
      </c>
      <c r="P52" s="16" t="inlineStr"/>
      <c r="Q52" s="23">
        <f>IF(O52="חוסר",M52-ROW()/100000,IF(O52="עודף",M52+ROW()/100000,""))</f>
        <v/>
      </c>
    </row>
    <row r="53">
      <c r="A53" s="16" t="inlineStr">
        <is>
          <t>מט"ל ואבזור</t>
        </is>
      </c>
      <c r="B53" s="21" t="inlineStr">
        <is>
          <t>מט"ל מ"מ</t>
        </is>
      </c>
      <c r="C53" s="17" t="n">
        <v>3</v>
      </c>
      <c r="D53" s="17" t="n">
        <v>5</v>
      </c>
      <c r="E53" s="17" t="n">
        <v>4</v>
      </c>
      <c r="F53" s="17" t="n">
        <v>4</v>
      </c>
      <c r="G53" s="17" t="n"/>
      <c r="H53" s="17" t="n"/>
      <c r="I53" s="17" t="n"/>
      <c r="J53" s="17" t="n">
        <v>3</v>
      </c>
      <c r="K53" s="17">
        <f>IF($B53="","",SUM(C53:J53))</f>
        <v/>
      </c>
      <c r="L53" s="17" t="n">
        <v>19</v>
      </c>
      <c r="M53" s="17">
        <f>IF(OR($B53="",L53=""),"",K53-L53)</f>
        <v/>
      </c>
      <c r="N53" s="22">
        <f>IF(OR($B53="",L53="",L53=0),"",K53/L53)</f>
        <v/>
      </c>
      <c r="O53" s="17">
        <f>IF($B53="","",IF(L53="","אין מצאי",IF(K53&lt;L53,"חוסר",IF(K53&gt;L53,"עודף","תקין"))))</f>
        <v/>
      </c>
      <c r="P53" s="16" t="inlineStr"/>
      <c r="Q53" s="23">
        <f>IF(O53="חוסר",M53-ROW()/100000,IF(O53="עודף",M53+ROW()/100000,""))</f>
        <v/>
      </c>
    </row>
    <row r="54">
      <c r="A54" s="16" t="inlineStr">
        <is>
          <t>מט"ל ואבזור</t>
        </is>
      </c>
      <c r="B54" s="21" t="inlineStr">
        <is>
          <t>מטל ממ VORTEX (אזרחי)</t>
        </is>
      </c>
      <c r="C54" s="17" t="n"/>
      <c r="D54" s="17" t="n"/>
      <c r="E54" s="17" t="n"/>
      <c r="F54" s="17" t="n">
        <v>5</v>
      </c>
      <c r="G54" s="17" t="n"/>
      <c r="H54" s="17" t="n"/>
      <c r="I54" s="17" t="n"/>
      <c r="J54" s="17" t="n"/>
      <c r="K54" s="17">
        <f>IF($B54="","",SUM(C54:J54))</f>
        <v/>
      </c>
      <c r="L54" s="17" t="n"/>
      <c r="M54" s="17">
        <f>IF(OR($B54="",L54=""),"",K54-L54)</f>
        <v/>
      </c>
      <c r="N54" s="22">
        <f>IF(OR($B54="",L54="",L54=0),"",K54/L54)</f>
        <v/>
      </c>
      <c r="O54" s="17">
        <f>IF($B54="","",IF(L54="","אין מצאי",IF(K54&lt;L54,"חוסר",IF(K54&gt;L54,"עודף","תקין"))))</f>
        <v/>
      </c>
      <c r="P54" s="16" t="inlineStr"/>
      <c r="Q54" s="23">
        <f>IF(O54="חוסר",M54-ROW()/100000,IF(O54="עודף",M54+ROW()/100000,""))</f>
        <v/>
      </c>
    </row>
    <row r="55">
      <c r="A55" s="16" t="inlineStr">
        <is>
          <t>מט"ל ואבזור</t>
        </is>
      </c>
      <c r="B55" s="21" t="inlineStr">
        <is>
          <t>ממיר מתח לעמית</t>
        </is>
      </c>
      <c r="C55" s="17" t="n">
        <v>1</v>
      </c>
      <c r="D55" s="17" t="n">
        <v>2</v>
      </c>
      <c r="E55" s="17" t="n">
        <v>1</v>
      </c>
      <c r="F55" s="17" t="n">
        <v>2</v>
      </c>
      <c r="G55" s="17" t="n"/>
      <c r="H55" s="17" t="n"/>
      <c r="I55" s="17" t="n"/>
      <c r="J55" s="17" t="n">
        <v>3</v>
      </c>
      <c r="K55" s="17">
        <f>IF($B55="","",SUM(C55:J55))</f>
        <v/>
      </c>
      <c r="L55" s="17" t="n"/>
      <c r="M55" s="17">
        <f>IF(OR($B55="",L55=""),"",K55-L55)</f>
        <v/>
      </c>
      <c r="N55" s="22">
        <f>IF(OR($B55="",L55="",L55=0),"",K55/L55)</f>
        <v/>
      </c>
      <c r="O55" s="17">
        <f>IF($B55="","",IF(L55="","אין מצאי",IF(K55&lt;L55,"חוסר",IF(K55&gt;L55,"עודף","תקין"))))</f>
        <v/>
      </c>
      <c r="P55" s="16" t="inlineStr"/>
      <c r="Q55" s="23">
        <f>IF(O55="חוסר",M55-ROW()/100000,IF(O55="עודף",M55+ROW()/100000,""))</f>
        <v/>
      </c>
    </row>
    <row r="56">
      <c r="A56" s="16" t="inlineStr">
        <is>
          <t>רחפנים</t>
        </is>
      </c>
      <c r="B56" s="21" t="inlineStr">
        <is>
          <t>רחפן AVATA</t>
        </is>
      </c>
      <c r="C56" s="17" t="n">
        <v>4</v>
      </c>
      <c r="D56" s="17" t="n">
        <v>4</v>
      </c>
      <c r="E56" s="17" t="n">
        <v>4</v>
      </c>
      <c r="F56" s="17" t="n">
        <v>3</v>
      </c>
      <c r="G56" s="17" t="n"/>
      <c r="H56" s="17" t="n">
        <v>2</v>
      </c>
      <c r="I56" s="17" t="n"/>
      <c r="J56" s="17" t="n"/>
      <c r="K56" s="17">
        <f>IF($B56="","",SUM(C56:J56))</f>
        <v/>
      </c>
      <c r="L56" s="17" t="n"/>
      <c r="M56" s="17">
        <f>IF(OR($B56="",L56=""),"",K56-L56)</f>
        <v/>
      </c>
      <c r="N56" s="22">
        <f>IF(OR($B56="",L56="",L56=0),"",K56/L56)</f>
        <v/>
      </c>
      <c r="O56" s="17">
        <f>IF($B56="","",IF(L56="","אין מצאי",IF(K56&lt;L56,"חוסר",IF(K56&gt;L56,"עודף","תקין"))))</f>
        <v/>
      </c>
      <c r="P56" s="16" t="inlineStr"/>
      <c r="Q56" s="23">
        <f>IF(O56="חוסר",M56-ROW()/100000,IF(O56="עודף",M56+ROW()/100000,""))</f>
        <v/>
      </c>
    </row>
    <row r="57">
      <c r="A57" s="16" t="inlineStr">
        <is>
          <t>רחפנים</t>
        </is>
      </c>
      <c r="B57" s="21" t="inlineStr">
        <is>
          <t>רחפן EVOMAX</t>
        </is>
      </c>
      <c r="C57" s="17" t="n">
        <v>1</v>
      </c>
      <c r="D57" s="17" t="n">
        <v>1</v>
      </c>
      <c r="E57" s="17" t="n">
        <v>1</v>
      </c>
      <c r="F57" s="17" t="n">
        <v>3</v>
      </c>
      <c r="G57" s="17" t="n"/>
      <c r="H57" s="17" t="n">
        <v>1</v>
      </c>
      <c r="I57" s="17" t="n"/>
      <c r="J57" s="17" t="n">
        <v>1</v>
      </c>
      <c r="K57" s="17">
        <f>IF($B57="","",SUM(C57:J57))</f>
        <v/>
      </c>
      <c r="L57" s="17" t="n"/>
      <c r="M57" s="17">
        <f>IF(OR($B57="",L57=""),"",K57-L57)</f>
        <v/>
      </c>
      <c r="N57" s="22">
        <f>IF(OR($B57="",L57="",L57=0),"",K57/L57)</f>
        <v/>
      </c>
      <c r="O57" s="17">
        <f>IF($B57="","",IF(L57="","אין מצאי",IF(K57&lt;L57,"חוסר",IF(K57&gt;L57,"עודף","תקין"))))</f>
        <v/>
      </c>
      <c r="P57" s="16" t="inlineStr"/>
      <c r="Q57" s="23">
        <f>IF(O57="חוסר",M57-ROW()/100000,IF(O57="עודף",M57+ROW()/100000,""))</f>
        <v/>
      </c>
    </row>
    <row r="58">
      <c r="A58" s="16" t="inlineStr">
        <is>
          <t>חשמל ואנרגיה</t>
        </is>
      </c>
      <c r="B58" s="21" t="inlineStr">
        <is>
          <t>1000W ECOFLOW גדול</t>
        </is>
      </c>
      <c r="C58" s="17" t="n"/>
      <c r="D58" s="17" t="n"/>
      <c r="E58" s="17" t="n"/>
      <c r="F58" s="17" t="n"/>
      <c r="G58" s="17" t="n"/>
      <c r="H58" s="17" t="n"/>
      <c r="I58" s="17" t="n"/>
      <c r="J58" s="17" t="n">
        <v>3</v>
      </c>
      <c r="K58" s="17">
        <f>IF($B58="","",SUM(C58:J58))</f>
        <v/>
      </c>
      <c r="L58" s="17" t="n">
        <v>3</v>
      </c>
      <c r="M58" s="17">
        <f>IF(OR($B58="",L58=""),"",K58-L58)</f>
        <v/>
      </c>
      <c r="N58" s="22">
        <f>IF(OR($B58="",L58="",L58=0),"",K58/L58)</f>
        <v/>
      </c>
      <c r="O58" s="17">
        <f>IF($B58="","",IF(L58="","אין מצאי",IF(K58&lt;L58,"חוסר",IF(K58&gt;L58,"עודף","תקין"))))</f>
        <v/>
      </c>
      <c r="P58" s="16" t="inlineStr"/>
      <c r="Q58" s="23">
        <f>IF(O58="חוסר",M58-ROW()/100000,IF(O58="עודף",M58+ROW()/100000,""))</f>
        <v/>
      </c>
    </row>
    <row r="59">
      <c r="A59" s="16" t="inlineStr">
        <is>
          <t>חשמל ואנרגיה</t>
        </is>
      </c>
      <c r="B59" s="21" t="inlineStr">
        <is>
          <t>1800W ECOFLOW HYBRID</t>
        </is>
      </c>
      <c r="C59" s="17" t="n"/>
      <c r="D59" s="17" t="n"/>
      <c r="E59" s="17" t="n"/>
      <c r="F59" s="17" t="n"/>
      <c r="G59" s="17" t="n"/>
      <c r="H59" s="17" t="n"/>
      <c r="I59" s="17" t="n"/>
      <c r="J59" s="17" t="n">
        <v>1</v>
      </c>
      <c r="K59" s="17">
        <f>IF($B59="","",SUM(C59:J59))</f>
        <v/>
      </c>
      <c r="L59" s="17" t="n">
        <v>1</v>
      </c>
      <c r="M59" s="17">
        <f>IF(OR($B59="",L59=""),"",K59-L59)</f>
        <v/>
      </c>
      <c r="N59" s="22">
        <f>IF(OR($B59="",L59="",L59=0),"",K59/L59)</f>
        <v/>
      </c>
      <c r="O59" s="17">
        <f>IF($B59="","",IF(L59="","אין מצאי",IF(K59&lt;L59,"חוסר",IF(K59&gt;L59,"עודף","תקין"))))</f>
        <v/>
      </c>
      <c r="P59" s="16" t="inlineStr"/>
      <c r="Q59" s="23">
        <f>IF(O59="חוסר",M59-ROW()/100000,IF(O59="עודף",M59+ROW()/100000,""))</f>
        <v/>
      </c>
    </row>
    <row r="60">
      <c r="A60" s="16" t="inlineStr">
        <is>
          <t>חשמל ואנרגיה</t>
        </is>
      </c>
      <c r="B60" s="21" t="inlineStr">
        <is>
          <t>500W ECOFLOW קטן</t>
        </is>
      </c>
      <c r="C60" s="17" t="n"/>
      <c r="D60" s="17" t="n"/>
      <c r="E60" s="17" t="n"/>
      <c r="F60" s="17" t="n"/>
      <c r="G60" s="17" t="n"/>
      <c r="H60" s="17" t="n"/>
      <c r="I60" s="17" t="n"/>
      <c r="J60" s="17" t="n">
        <v>3</v>
      </c>
      <c r="K60" s="17">
        <f>IF($B60="","",SUM(C60:J60))</f>
        <v/>
      </c>
      <c r="L60" s="17" t="n">
        <v>3</v>
      </c>
      <c r="M60" s="17">
        <f>IF(OR($B60="",L60=""),"",K60-L60)</f>
        <v/>
      </c>
      <c r="N60" s="22">
        <f>IF(OR($B60="",L60="",L60=0),"",K60/L60)</f>
        <v/>
      </c>
      <c r="O60" s="17">
        <f>IF($B60="","",IF(L60="","אין מצאי",IF(K60&lt;L60,"חוסר",IF(K60&gt;L60,"עודף","תקין"))))</f>
        <v/>
      </c>
      <c r="P60" s="16" t="inlineStr"/>
      <c r="Q60" s="23">
        <f>IF(O60="חוסר",M60-ROW()/100000,IF(O60="עודף",M60+ROW()/100000,""))</f>
        <v/>
      </c>
    </row>
    <row r="61">
      <c r="A61" s="16" t="inlineStr">
        <is>
          <t>חשמל ואנרגיה</t>
        </is>
      </c>
      <c r="B61" s="21" t="inlineStr">
        <is>
          <t>גנרטור דיזל</t>
        </is>
      </c>
      <c r="C61" s="17" t="n"/>
      <c r="D61" s="17" t="n"/>
      <c r="E61" s="17" t="n"/>
      <c r="F61" s="17" t="n"/>
      <c r="G61" s="17" t="n"/>
      <c r="H61" s="17" t="n"/>
      <c r="I61" s="17" t="n"/>
      <c r="J61" s="17" t="n">
        <v>1</v>
      </c>
      <c r="K61" s="17">
        <f>IF($B61="","",SUM(C61:J61))</f>
        <v/>
      </c>
      <c r="L61" s="17" t="n"/>
      <c r="M61" s="17">
        <f>IF(OR($B61="",L61=""),"",K61-L61)</f>
        <v/>
      </c>
      <c r="N61" s="22">
        <f>IF(OR($B61="",L61="",L61=0),"",K61/L61)</f>
        <v/>
      </c>
      <c r="O61" s="17">
        <f>IF($B61="","",IF(L61="","אין מצאי",IF(K61&lt;L61,"חוסר",IF(K61&gt;L61,"עודף","תקין"))))</f>
        <v/>
      </c>
      <c r="P61" s="16" t="inlineStr"/>
      <c r="Q61" s="23">
        <f>IF(O61="חוסר",M61-ROW()/100000,IF(O61="עודף",M61+ROW()/100000,""))</f>
        <v/>
      </c>
    </row>
    <row r="62">
      <c r="A62" s="16" t="inlineStr">
        <is>
          <t>חשמל ואנרגיה</t>
        </is>
      </c>
      <c r="B62" s="21" t="inlineStr">
        <is>
          <t>גנרטור כתום GPT 1800W</t>
        </is>
      </c>
      <c r="C62" s="17" t="n"/>
      <c r="D62" s="17" t="n"/>
      <c r="E62" s="17" t="n"/>
      <c r="F62" s="17" t="n"/>
      <c r="G62" s="17" t="n"/>
      <c r="H62" s="17" t="n"/>
      <c r="I62" s="17" t="n"/>
      <c r="J62" s="17" t="n">
        <v>5</v>
      </c>
      <c r="K62" s="17">
        <f>IF($B62="","",SUM(C62:J62))</f>
        <v/>
      </c>
      <c r="L62" s="17" t="n">
        <v>5</v>
      </c>
      <c r="M62" s="17">
        <f>IF(OR($B62="",L62=""),"",K62-L62)</f>
        <v/>
      </c>
      <c r="N62" s="22">
        <f>IF(OR($B62="",L62="",L62=0),"",K62/L62)</f>
        <v/>
      </c>
      <c r="O62" s="17">
        <f>IF($B62="","",IF(L62="","אין מצאי",IF(K62&lt;L62,"חוסר",IF(K62&gt;L62,"עודף","תקין"))))</f>
        <v/>
      </c>
      <c r="P62" s="16" t="inlineStr"/>
      <c r="Q62" s="23">
        <f>IF(O62="חוסר",M62-ROW()/100000,IF(O62="עודף",M62+ROW()/100000,""))</f>
        <v/>
      </c>
    </row>
    <row r="63">
      <c r="A63" s="16" t="inlineStr">
        <is>
          <t>חשמל ואנרגיה</t>
        </is>
      </c>
      <c r="B63" s="21" t="inlineStr">
        <is>
          <t>גנרטור לבן YAMAR 3800W</t>
        </is>
      </c>
      <c r="C63" s="17" t="n"/>
      <c r="D63" s="17" t="n"/>
      <c r="E63" s="17" t="n"/>
      <c r="F63" s="17" t="n"/>
      <c r="G63" s="17" t="n"/>
      <c r="H63" s="17" t="n"/>
      <c r="I63" s="17" t="n"/>
      <c r="J63" s="17" t="n">
        <v>4</v>
      </c>
      <c r="K63" s="17">
        <f>IF($B63="","",SUM(C63:J63))</f>
        <v/>
      </c>
      <c r="L63" s="17" t="n">
        <v>4</v>
      </c>
      <c r="M63" s="17">
        <f>IF(OR($B63="",L63=""),"",K63-L63)</f>
        <v/>
      </c>
      <c r="N63" s="22">
        <f>IF(OR($B63="",L63="",L63=0),"",K63/L63)</f>
        <v/>
      </c>
      <c r="O63" s="17">
        <f>IF($B63="","",IF(L63="","אין מצאי",IF(K63&lt;L63,"חוסר",IF(K63&gt;L63,"עודף","תקין"))))</f>
        <v/>
      </c>
      <c r="P63" s="16" t="inlineStr"/>
      <c r="Q63" s="23">
        <f>IF(O63="חוסר",M63-ROW()/100000,IF(O63="עודף",M63+ROW()/100000,""))</f>
        <v/>
      </c>
    </row>
    <row r="64">
      <c r="A64" s="16" t="inlineStr">
        <is>
          <t>חשמל ואנרגיה</t>
        </is>
      </c>
      <c r="B64" s="21" t="inlineStr">
        <is>
          <t>גנרטור צהוב 700W</t>
        </is>
      </c>
      <c r="C64" s="17" t="n"/>
      <c r="D64" s="17" t="n"/>
      <c r="E64" s="17" t="n"/>
      <c r="F64" s="17" t="n"/>
      <c r="G64" s="17" t="n"/>
      <c r="H64" s="17" t="n"/>
      <c r="I64" s="17" t="n"/>
      <c r="J64" s="17" t="n">
        <v>1</v>
      </c>
      <c r="K64" s="17">
        <f>IF($B64="","",SUM(C64:J64))</f>
        <v/>
      </c>
      <c r="L64" s="17" t="n">
        <v>1</v>
      </c>
      <c r="M64" s="17">
        <f>IF(OR($B64="",L64=""),"",K64-L64)</f>
        <v/>
      </c>
      <c r="N64" s="22">
        <f>IF(OR($B64="",L64="",L64=0),"",K64/L64)</f>
        <v/>
      </c>
      <c r="O64" s="17">
        <f>IF($B64="","",IF(L64="","אין מצאי",IF(K64&lt;L64,"חוסר",IF(K64&gt;L64,"עודף","תקין"))))</f>
        <v/>
      </c>
      <c r="P64" s="16" t="inlineStr"/>
      <c r="Q64" s="23">
        <f>IF(O64="חוסר",M64-ROW()/100000,IF(O64="עודף",M64+ROW()/100000,""))</f>
        <v/>
      </c>
    </row>
    <row r="65">
      <c r="A65" s="16" t="inlineStr">
        <is>
          <t>חשמל ואנרגיה</t>
        </is>
      </c>
      <c r="B65" s="21" t="inlineStr">
        <is>
          <t>פלטות</t>
        </is>
      </c>
      <c r="C65" s="17" t="n"/>
      <c r="D65" s="17" t="n"/>
      <c r="E65" s="17" t="n"/>
      <c r="F65" s="17" t="n"/>
      <c r="G65" s="17" t="n"/>
      <c r="H65" s="17" t="n"/>
      <c r="I65" s="17" t="n"/>
      <c r="J65" s="17" t="n">
        <v>10</v>
      </c>
      <c r="K65" s="17">
        <f>IF($B65="","",SUM(C65:J65))</f>
        <v/>
      </c>
      <c r="L65" s="17" t="n"/>
      <c r="M65" s="17">
        <f>IF(OR($B65="",L65=""),"",K65-L65)</f>
        <v/>
      </c>
      <c r="N65" s="22">
        <f>IF(OR($B65="",L65="",L65=0),"",K65/L65)</f>
        <v/>
      </c>
      <c r="O65" s="17">
        <f>IF($B65="","",IF(L65="","אין מצאי",IF(K65&lt;L65,"חוסר",IF(K65&gt;L65,"עודף","תקין"))))</f>
        <v/>
      </c>
      <c r="P65" s="16" t="inlineStr"/>
      <c r="Q65" s="23">
        <f>IF(O65="חוסר",M65-ROW()/100000,IF(O65="עודף",M65+ROW()/100000,""))</f>
        <v/>
      </c>
    </row>
    <row r="66">
      <c r="K66" s="24">
        <f>IF($B66="","",SUM(C66:J66))</f>
        <v/>
      </c>
      <c r="M66" s="24">
        <f>IF(OR($B66="",L66=""),"",K66-L66)</f>
        <v/>
      </c>
      <c r="N66" s="25">
        <f>IF(OR($B66="",L66="",L66=0),"",K66/L66)</f>
        <v/>
      </c>
      <c r="O66" s="24">
        <f>IF($B66="","",IF(L66="","אין מצאי",IF(K66&lt;L66,"חוסר",IF(K66&gt;L66,"עודף","תקין"))))</f>
        <v/>
      </c>
      <c r="Q66">
        <f>IF(O66="חוסר",M66-ROW()/100000,IF(O66="עודף",M66+ROW()/100000,""))</f>
        <v/>
      </c>
    </row>
    <row r="67">
      <c r="K67" s="24">
        <f>IF($B67="","",SUM(C67:J67))</f>
        <v/>
      </c>
      <c r="M67" s="24">
        <f>IF(OR($B67="",L67=""),"",K67-L67)</f>
        <v/>
      </c>
      <c r="N67" s="25">
        <f>IF(OR($B67="",L67="",L67=0),"",K67/L67)</f>
        <v/>
      </c>
      <c r="O67" s="24">
        <f>IF($B67="","",IF(L67="","אין מצאי",IF(K67&lt;L67,"חוסר",IF(K67&gt;L67,"עודף","תקין"))))</f>
        <v/>
      </c>
      <c r="Q67">
        <f>IF(O67="חוסר",M67-ROW()/100000,IF(O67="עודף",M67+ROW()/100000,""))</f>
        <v/>
      </c>
    </row>
    <row r="68">
      <c r="K68" s="24">
        <f>IF($B68="","",SUM(C68:J68))</f>
        <v/>
      </c>
      <c r="M68" s="24">
        <f>IF(OR($B68="",L68=""),"",K68-L68)</f>
        <v/>
      </c>
      <c r="N68" s="25">
        <f>IF(OR($B68="",L68="",L68=0),"",K68/L68)</f>
        <v/>
      </c>
      <c r="O68" s="24">
        <f>IF($B68="","",IF(L68="","אין מצאי",IF(K68&lt;L68,"חוסר",IF(K68&gt;L68,"עודף","תקין"))))</f>
        <v/>
      </c>
      <c r="Q68">
        <f>IF(O68="חוסר",M68-ROW()/100000,IF(O68="עודף",M68+ROW()/100000,""))</f>
        <v/>
      </c>
    </row>
    <row r="69">
      <c r="K69" s="24">
        <f>IF($B69="","",SUM(C69:J69))</f>
        <v/>
      </c>
      <c r="M69" s="24">
        <f>IF(OR($B69="",L69=""),"",K69-L69)</f>
        <v/>
      </c>
      <c r="N69" s="25">
        <f>IF(OR($B69="",L69="",L69=0),"",K69/L69)</f>
        <v/>
      </c>
      <c r="O69" s="24">
        <f>IF($B69="","",IF(L69="","אין מצאי",IF(K69&lt;L69,"חוסר",IF(K69&gt;L69,"עודף","תקין"))))</f>
        <v/>
      </c>
      <c r="Q69">
        <f>IF(O69="חוסר",M69-ROW()/100000,IF(O69="עודף",M69+ROW()/100000,""))</f>
        <v/>
      </c>
    </row>
    <row r="70">
      <c r="K70" s="24">
        <f>IF($B70="","",SUM(C70:J70))</f>
        <v/>
      </c>
      <c r="M70" s="24">
        <f>IF(OR($B70="",L70=""),"",K70-L70)</f>
        <v/>
      </c>
      <c r="N70" s="25">
        <f>IF(OR($B70="",L70="",L70=0),"",K70/L70)</f>
        <v/>
      </c>
      <c r="O70" s="24">
        <f>IF($B70="","",IF(L70="","אין מצאי",IF(K70&lt;L70,"חוסר",IF(K70&gt;L70,"עודף","תקין"))))</f>
        <v/>
      </c>
      <c r="Q70">
        <f>IF(O70="חוסר",M70-ROW()/100000,IF(O70="עודף",M70+ROW()/100000,""))</f>
        <v/>
      </c>
    </row>
    <row r="71">
      <c r="K71" s="24">
        <f>IF($B71="","",SUM(C71:J71))</f>
        <v/>
      </c>
      <c r="M71" s="24">
        <f>IF(OR($B71="",L71=""),"",K71-L71)</f>
        <v/>
      </c>
      <c r="N71" s="25">
        <f>IF(OR($B71="",L71="",L71=0),"",K71/L71)</f>
        <v/>
      </c>
      <c r="O71" s="24">
        <f>IF($B71="","",IF(L71="","אין מצאי",IF(K71&lt;L71,"חוסר",IF(K71&gt;L71,"עודף","תקין"))))</f>
        <v/>
      </c>
      <c r="Q71">
        <f>IF(O71="חוסר",M71-ROW()/100000,IF(O71="עודף",M71+ROW()/100000,""))</f>
        <v/>
      </c>
    </row>
    <row r="72">
      <c r="K72" s="24">
        <f>IF($B72="","",SUM(C72:J72))</f>
        <v/>
      </c>
      <c r="M72" s="24">
        <f>IF(OR($B72="",L72=""),"",K72-L72)</f>
        <v/>
      </c>
      <c r="N72" s="25">
        <f>IF(OR($B72="",L72="",L72=0),"",K72/L72)</f>
        <v/>
      </c>
      <c r="O72" s="24">
        <f>IF($B72="","",IF(L72="","אין מצאי",IF(K72&lt;L72,"חוסר",IF(K72&gt;L72,"עודף","תקין"))))</f>
        <v/>
      </c>
      <c r="Q72">
        <f>IF(O72="חוסר",M72-ROW()/100000,IF(O72="עודף",M72+ROW()/100000,""))</f>
        <v/>
      </c>
    </row>
    <row r="73">
      <c r="K73" s="24">
        <f>IF($B73="","",SUM(C73:J73))</f>
        <v/>
      </c>
      <c r="M73" s="24">
        <f>IF(OR($B73="",L73=""),"",K73-L73)</f>
        <v/>
      </c>
      <c r="N73" s="25">
        <f>IF(OR($B73="",L73="",L73=0),"",K73/L73)</f>
        <v/>
      </c>
      <c r="O73" s="24">
        <f>IF($B73="","",IF(L73="","אין מצאי",IF(K73&lt;L73,"חוסר",IF(K73&gt;L73,"עודף","תקין"))))</f>
        <v/>
      </c>
      <c r="Q73">
        <f>IF(O73="חוסר",M73-ROW()/100000,IF(O73="עודף",M73+ROW()/100000,""))</f>
        <v/>
      </c>
    </row>
    <row r="74">
      <c r="K74" s="24">
        <f>IF($B74="","",SUM(C74:J74))</f>
        <v/>
      </c>
      <c r="M74" s="24">
        <f>IF(OR($B74="",L74=""),"",K74-L74)</f>
        <v/>
      </c>
      <c r="N74" s="25">
        <f>IF(OR($B74="",L74="",L74=0),"",K74/L74)</f>
        <v/>
      </c>
      <c r="O74" s="24">
        <f>IF($B74="","",IF(L74="","אין מצאי",IF(K74&lt;L74,"חוסר",IF(K74&gt;L74,"עודף","תקין"))))</f>
        <v/>
      </c>
      <c r="Q74">
        <f>IF(O74="חוסר",M74-ROW()/100000,IF(O74="עודף",M74+ROW()/100000,""))</f>
        <v/>
      </c>
    </row>
    <row r="75">
      <c r="K75" s="24">
        <f>IF($B75="","",SUM(C75:J75))</f>
        <v/>
      </c>
      <c r="M75" s="24">
        <f>IF(OR($B75="",L75=""),"",K75-L75)</f>
        <v/>
      </c>
      <c r="N75" s="25">
        <f>IF(OR($B75="",L75="",L75=0),"",K75/L75)</f>
        <v/>
      </c>
      <c r="O75" s="24">
        <f>IF($B75="","",IF(L75="","אין מצאי",IF(K75&lt;L75,"חוסר",IF(K75&gt;L75,"עודף","תקין"))))</f>
        <v/>
      </c>
      <c r="Q75">
        <f>IF(O75="חוסר",M75-ROW()/100000,IF(O75="עודף",M75+ROW()/100000,""))</f>
        <v/>
      </c>
    </row>
    <row r="76">
      <c r="K76" s="24">
        <f>IF($B76="","",SUM(C76:J76))</f>
        <v/>
      </c>
      <c r="M76" s="24">
        <f>IF(OR($B76="",L76=""),"",K76-L76)</f>
        <v/>
      </c>
      <c r="N76" s="25">
        <f>IF(OR($B76="",L76="",L76=0),"",K76/L76)</f>
        <v/>
      </c>
      <c r="O76" s="24">
        <f>IF($B76="","",IF(L76="","אין מצאי",IF(K76&lt;L76,"חוסר",IF(K76&gt;L76,"עודף","תקין"))))</f>
        <v/>
      </c>
      <c r="Q76">
        <f>IF(O76="חוסר",M76-ROW()/100000,IF(O76="עודף",M76+ROW()/100000,""))</f>
        <v/>
      </c>
    </row>
    <row r="77">
      <c r="K77" s="24">
        <f>IF($B77="","",SUM(C77:J77))</f>
        <v/>
      </c>
      <c r="M77" s="24">
        <f>IF(OR($B77="",L77=""),"",K77-L77)</f>
        <v/>
      </c>
      <c r="N77" s="25">
        <f>IF(OR($B77="",L77="",L77=0),"",K77/L77)</f>
        <v/>
      </c>
      <c r="O77" s="24">
        <f>IF($B77="","",IF(L77="","אין מצאי",IF(K77&lt;L77,"חוסר",IF(K77&gt;L77,"עודף","תקין"))))</f>
        <v/>
      </c>
      <c r="Q77">
        <f>IF(O77="חוסר",M77-ROW()/100000,IF(O77="עודף",M77+ROW()/100000,""))</f>
        <v/>
      </c>
    </row>
    <row r="78">
      <c r="K78" s="24">
        <f>IF($B78="","",SUM(C78:J78))</f>
        <v/>
      </c>
      <c r="M78" s="24">
        <f>IF(OR($B78="",L78=""),"",K78-L78)</f>
        <v/>
      </c>
      <c r="N78" s="25">
        <f>IF(OR($B78="",L78="",L78=0),"",K78/L78)</f>
        <v/>
      </c>
      <c r="O78" s="24">
        <f>IF($B78="","",IF(L78="","אין מצאי",IF(K78&lt;L78,"חוסר",IF(K78&gt;L78,"עודף","תקין"))))</f>
        <v/>
      </c>
      <c r="Q78">
        <f>IF(O78="חוסר",M78-ROW()/100000,IF(O78="עודף",M78+ROW()/100000,""))</f>
        <v/>
      </c>
    </row>
    <row r="79">
      <c r="K79" s="24">
        <f>IF($B79="","",SUM(C79:J79))</f>
        <v/>
      </c>
      <c r="M79" s="24">
        <f>IF(OR($B79="",L79=""),"",K79-L79)</f>
        <v/>
      </c>
      <c r="N79" s="25">
        <f>IF(OR($B79="",L79="",L79=0),"",K79/L79)</f>
        <v/>
      </c>
      <c r="O79" s="24">
        <f>IF($B79="","",IF(L79="","אין מצאי",IF(K79&lt;L79,"חוסר",IF(K79&gt;L79,"עודף","תקין"))))</f>
        <v/>
      </c>
      <c r="Q79">
        <f>IF(O79="חוסר",M79-ROW()/100000,IF(O79="עודף",M79+ROW()/100000,""))</f>
        <v/>
      </c>
    </row>
    <row r="80">
      <c r="K80" s="24">
        <f>IF($B80="","",SUM(C80:J80))</f>
        <v/>
      </c>
      <c r="M80" s="24">
        <f>IF(OR($B80="",L80=""),"",K80-L80)</f>
        <v/>
      </c>
      <c r="N80" s="25">
        <f>IF(OR($B80="",L80="",L80=0),"",K80/L80)</f>
        <v/>
      </c>
      <c r="O80" s="24">
        <f>IF($B80="","",IF(L80="","אין מצאי",IF(K80&lt;L80,"חוסר",IF(K80&gt;L80,"עודף","תקין"))))</f>
        <v/>
      </c>
      <c r="Q80">
        <f>IF(O80="חוסר",M80-ROW()/100000,IF(O80="עודף",M80+ROW()/100000,""))</f>
        <v/>
      </c>
    </row>
    <row r="81">
      <c r="K81" s="24">
        <f>IF($B81="","",SUM(C81:J81))</f>
        <v/>
      </c>
      <c r="M81" s="24">
        <f>IF(OR($B81="",L81=""),"",K81-L81)</f>
        <v/>
      </c>
      <c r="N81" s="25">
        <f>IF(OR($B81="",L81="",L81=0),"",K81/L81)</f>
        <v/>
      </c>
      <c r="O81" s="24">
        <f>IF($B81="","",IF(L81="","אין מצאי",IF(K81&lt;L81,"חוסר",IF(K81&gt;L81,"עודף","תקין"))))</f>
        <v/>
      </c>
      <c r="Q81">
        <f>IF(O81="חוסר",M81-ROW()/100000,IF(O81="עודף",M81+ROW()/100000,""))</f>
        <v/>
      </c>
    </row>
    <row r="82">
      <c r="K82" s="24">
        <f>IF($B82="","",SUM(C82:J82))</f>
        <v/>
      </c>
      <c r="M82" s="24">
        <f>IF(OR($B82="",L82=""),"",K82-L82)</f>
        <v/>
      </c>
      <c r="N82" s="25">
        <f>IF(OR($B82="",L82="",L82=0),"",K82/L82)</f>
        <v/>
      </c>
      <c r="O82" s="24">
        <f>IF($B82="","",IF(L82="","אין מצאי",IF(K82&lt;L82,"חוסר",IF(K82&gt;L82,"עודף","תקין"))))</f>
        <v/>
      </c>
      <c r="Q82">
        <f>IF(O82="חוסר",M82-ROW()/100000,IF(O82="עודף",M82+ROW()/100000,""))</f>
        <v/>
      </c>
    </row>
    <row r="83">
      <c r="K83" s="24">
        <f>IF($B83="","",SUM(C83:J83))</f>
        <v/>
      </c>
      <c r="M83" s="24">
        <f>IF(OR($B83="",L83=""),"",K83-L83)</f>
        <v/>
      </c>
      <c r="N83" s="25">
        <f>IF(OR($B83="",L83="",L83=0),"",K83/L83)</f>
        <v/>
      </c>
      <c r="O83" s="24">
        <f>IF($B83="","",IF(L83="","אין מצאי",IF(K83&lt;L83,"חוסר",IF(K83&gt;L83,"עודף","תקין"))))</f>
        <v/>
      </c>
      <c r="Q83">
        <f>IF(O83="חוסר",M83-ROW()/100000,IF(O83="עודף",M83+ROW()/100000,""))</f>
        <v/>
      </c>
    </row>
    <row r="84">
      <c r="K84" s="24">
        <f>IF($B84="","",SUM(C84:J84))</f>
        <v/>
      </c>
      <c r="M84" s="24">
        <f>IF(OR($B84="",L84=""),"",K84-L84)</f>
        <v/>
      </c>
      <c r="N84" s="25">
        <f>IF(OR($B84="",L84="",L84=0),"",K84/L84)</f>
        <v/>
      </c>
      <c r="O84" s="24">
        <f>IF($B84="","",IF(L84="","אין מצאי",IF(K84&lt;L84,"חוסר",IF(K84&gt;L84,"עודף","תקין"))))</f>
        <v/>
      </c>
      <c r="Q84">
        <f>IF(O84="חוסר",M84-ROW()/100000,IF(O84="עודף",M84+ROW()/100000,""))</f>
        <v/>
      </c>
    </row>
    <row r="85">
      <c r="K85" s="24">
        <f>IF($B85="","",SUM(C85:J85))</f>
        <v/>
      </c>
      <c r="M85" s="24">
        <f>IF(OR($B85="",L85=""),"",K85-L85)</f>
        <v/>
      </c>
      <c r="N85" s="25">
        <f>IF(OR($B85="",L85="",L85=0),"",K85/L85)</f>
        <v/>
      </c>
      <c r="O85" s="24">
        <f>IF($B85="","",IF(L85="","אין מצאי",IF(K85&lt;L85,"חוסר",IF(K85&gt;L85,"עודף","תקין"))))</f>
        <v/>
      </c>
      <c r="Q85">
        <f>IF(O85="חוסר",M85-ROW()/100000,IF(O85="עודף",M85+ROW()/100000,""))</f>
        <v/>
      </c>
    </row>
    <row r="86">
      <c r="K86" s="24">
        <f>IF($B86="","",SUM(C86:J86))</f>
        <v/>
      </c>
      <c r="M86" s="24">
        <f>IF(OR($B86="",L86=""),"",K86-L86)</f>
        <v/>
      </c>
      <c r="N86" s="25">
        <f>IF(OR($B86="",L86="",L86=0),"",K86/L86)</f>
        <v/>
      </c>
      <c r="O86" s="24">
        <f>IF($B86="","",IF(L86="","אין מצאי",IF(K86&lt;L86,"חוסר",IF(K86&gt;L86,"עודף","תקין"))))</f>
        <v/>
      </c>
      <c r="Q86">
        <f>IF(O86="חוסר",M86-ROW()/100000,IF(O86="עודף",M86+ROW()/100000,""))</f>
        <v/>
      </c>
    </row>
    <row r="87">
      <c r="K87" s="24">
        <f>IF($B87="","",SUM(C87:J87))</f>
        <v/>
      </c>
      <c r="M87" s="24">
        <f>IF(OR($B87="",L87=""),"",K87-L87)</f>
        <v/>
      </c>
      <c r="N87" s="25">
        <f>IF(OR($B87="",L87="",L87=0),"",K87/L87)</f>
        <v/>
      </c>
      <c r="O87" s="24">
        <f>IF($B87="","",IF(L87="","אין מצאי",IF(K87&lt;L87,"חוסר",IF(K87&gt;L87,"עודף","תקין"))))</f>
        <v/>
      </c>
      <c r="Q87">
        <f>IF(O87="חוסר",M87-ROW()/100000,IF(O87="עודף",M87+ROW()/100000,""))</f>
        <v/>
      </c>
    </row>
    <row r="88">
      <c r="K88" s="24">
        <f>IF($B88="","",SUM(C88:J88))</f>
        <v/>
      </c>
      <c r="M88" s="24">
        <f>IF(OR($B88="",L88=""),"",K88-L88)</f>
        <v/>
      </c>
      <c r="N88" s="25">
        <f>IF(OR($B88="",L88="",L88=0),"",K88/L88)</f>
        <v/>
      </c>
      <c r="O88" s="24">
        <f>IF($B88="","",IF(L88="","אין מצאי",IF(K88&lt;L88,"חוסר",IF(K88&gt;L88,"עודף","תקין"))))</f>
        <v/>
      </c>
      <c r="Q88">
        <f>IF(O88="חוסר",M88-ROW()/100000,IF(O88="עודף",M88+ROW()/100000,""))</f>
        <v/>
      </c>
    </row>
    <row r="89">
      <c r="K89" s="24">
        <f>IF($B89="","",SUM(C89:J89))</f>
        <v/>
      </c>
      <c r="M89" s="24">
        <f>IF(OR($B89="",L89=""),"",K89-L89)</f>
        <v/>
      </c>
      <c r="N89" s="25">
        <f>IF(OR($B89="",L89="",L89=0),"",K89/L89)</f>
        <v/>
      </c>
      <c r="O89" s="24">
        <f>IF($B89="","",IF(L89="","אין מצאי",IF(K89&lt;L89,"חוסר",IF(K89&gt;L89,"עודף","תקין"))))</f>
        <v/>
      </c>
      <c r="Q89">
        <f>IF(O89="חוסר",M89-ROW()/100000,IF(O89="עודף",M89+ROW()/100000,""))</f>
        <v/>
      </c>
    </row>
    <row r="90">
      <c r="K90" s="24">
        <f>IF($B90="","",SUM(C90:J90))</f>
        <v/>
      </c>
      <c r="M90" s="24">
        <f>IF(OR($B90="",L90=""),"",K90-L90)</f>
        <v/>
      </c>
      <c r="N90" s="25">
        <f>IF(OR($B90="",L90="",L90=0),"",K90/L90)</f>
        <v/>
      </c>
      <c r="O90" s="24">
        <f>IF($B90="","",IF(L90="","אין מצאי",IF(K90&lt;L90,"חוסר",IF(K90&gt;L90,"עודף","תקין"))))</f>
        <v/>
      </c>
      <c r="Q90">
        <f>IF(O90="חוסר",M90-ROW()/100000,IF(O90="עודף",M90+ROW()/100000,""))</f>
        <v/>
      </c>
    </row>
    <row r="91">
      <c r="K91" s="24">
        <f>IF($B91="","",SUM(C91:J91))</f>
        <v/>
      </c>
      <c r="M91" s="24">
        <f>IF(OR($B91="",L91=""),"",K91-L91)</f>
        <v/>
      </c>
      <c r="N91" s="25">
        <f>IF(OR($B91="",L91="",L91=0),"",K91/L91)</f>
        <v/>
      </c>
      <c r="O91" s="24">
        <f>IF($B91="","",IF(L91="","אין מצאי",IF(K91&lt;L91,"חוסר",IF(K91&gt;L91,"עודף","תקין"))))</f>
        <v/>
      </c>
      <c r="Q91">
        <f>IF(O91="חוסר",M91-ROW()/100000,IF(O91="עודף",M91+ROW()/100000,""))</f>
        <v/>
      </c>
    </row>
    <row r="92">
      <c r="K92" s="24">
        <f>IF($B92="","",SUM(C92:J92))</f>
        <v/>
      </c>
      <c r="M92" s="24">
        <f>IF(OR($B92="",L92=""),"",K92-L92)</f>
        <v/>
      </c>
      <c r="N92" s="25">
        <f>IF(OR($B92="",L92="",L92=0),"",K92/L92)</f>
        <v/>
      </c>
      <c r="O92" s="24">
        <f>IF($B92="","",IF(L92="","אין מצאי",IF(K92&lt;L92,"חוסר",IF(K92&gt;L92,"עודף","תקין"))))</f>
        <v/>
      </c>
      <c r="Q92">
        <f>IF(O92="חוסר",M92-ROW()/100000,IF(O92="עודף",M92+ROW()/100000,""))</f>
        <v/>
      </c>
    </row>
    <row r="93">
      <c r="K93" s="24">
        <f>IF($B93="","",SUM(C93:J93))</f>
        <v/>
      </c>
      <c r="M93" s="24">
        <f>IF(OR($B93="",L93=""),"",K93-L93)</f>
        <v/>
      </c>
      <c r="N93" s="25">
        <f>IF(OR($B93="",L93="",L93=0),"",K93/L93)</f>
        <v/>
      </c>
      <c r="O93" s="24">
        <f>IF($B93="","",IF(L93="","אין מצאי",IF(K93&lt;L93,"חוסר",IF(K93&gt;L93,"עודף","תקין"))))</f>
        <v/>
      </c>
      <c r="Q93">
        <f>IF(O93="חוסר",M93-ROW()/100000,IF(O93="עודף",M93+ROW()/100000,""))</f>
        <v/>
      </c>
    </row>
    <row r="94">
      <c r="K94" s="24">
        <f>IF($B94="","",SUM(C94:J94))</f>
        <v/>
      </c>
      <c r="M94" s="24">
        <f>IF(OR($B94="",L94=""),"",K94-L94)</f>
        <v/>
      </c>
      <c r="N94" s="25">
        <f>IF(OR($B94="",L94="",L94=0),"",K94/L94)</f>
        <v/>
      </c>
      <c r="O94" s="24">
        <f>IF($B94="","",IF(L94="","אין מצאי",IF(K94&lt;L94,"חוסר",IF(K94&gt;L94,"עודף","תקין"))))</f>
        <v/>
      </c>
      <c r="Q94">
        <f>IF(O94="חוסר",M94-ROW()/100000,IF(O94="עודף",M94+ROW()/100000,""))</f>
        <v/>
      </c>
    </row>
    <row r="95">
      <c r="K95" s="24">
        <f>IF($B95="","",SUM(C95:J95))</f>
        <v/>
      </c>
      <c r="M95" s="24">
        <f>IF(OR($B95="",L95=""),"",K95-L95)</f>
        <v/>
      </c>
      <c r="N95" s="25">
        <f>IF(OR($B95="",L95="",L95=0),"",K95/L95)</f>
        <v/>
      </c>
      <c r="O95" s="24">
        <f>IF($B95="","",IF(L95="","אין מצאי",IF(K95&lt;L95,"חוסר",IF(K95&gt;L95,"עודף","תקין"))))</f>
        <v/>
      </c>
      <c r="Q95">
        <f>IF(O95="חוסר",M95-ROW()/100000,IF(O95="עודף",M95+ROW()/100000,""))</f>
        <v/>
      </c>
    </row>
    <row r="96">
      <c r="K96" s="24">
        <f>IF($B96="","",SUM(C96:J96))</f>
        <v/>
      </c>
      <c r="M96" s="24">
        <f>IF(OR($B96="",L96=""),"",K96-L96)</f>
        <v/>
      </c>
      <c r="N96" s="25">
        <f>IF(OR($B96="",L96="",L96=0),"",K96/L96)</f>
        <v/>
      </c>
      <c r="O96" s="24">
        <f>IF($B96="","",IF(L96="","אין מצאי",IF(K96&lt;L96,"חוסר",IF(K96&gt;L96,"עודף","תקין"))))</f>
        <v/>
      </c>
      <c r="Q96">
        <f>IF(O96="חוסר",M96-ROW()/100000,IF(O96="עודף",M96+ROW()/100000,""))</f>
        <v/>
      </c>
    </row>
    <row r="97">
      <c r="K97" s="24">
        <f>IF($B97="","",SUM(C97:J97))</f>
        <v/>
      </c>
      <c r="M97" s="24">
        <f>IF(OR($B97="",L97=""),"",K97-L97)</f>
        <v/>
      </c>
      <c r="N97" s="25">
        <f>IF(OR($B97="",L97="",L97=0),"",K97/L97)</f>
        <v/>
      </c>
      <c r="O97" s="24">
        <f>IF($B97="","",IF(L97="","אין מצאי",IF(K97&lt;L97,"חוסר",IF(K97&gt;L97,"עודף","תקין"))))</f>
        <v/>
      </c>
      <c r="Q97">
        <f>IF(O97="חוסר",M97-ROW()/100000,IF(O97="עודף",M97+ROW()/100000,""))</f>
        <v/>
      </c>
    </row>
    <row r="98">
      <c r="K98" s="24">
        <f>IF($B98="","",SUM(C98:J98))</f>
        <v/>
      </c>
      <c r="M98" s="24">
        <f>IF(OR($B98="",L98=""),"",K98-L98)</f>
        <v/>
      </c>
      <c r="N98" s="25">
        <f>IF(OR($B98="",L98="",L98=0),"",K98/L98)</f>
        <v/>
      </c>
      <c r="O98" s="24">
        <f>IF($B98="","",IF(L98="","אין מצאי",IF(K98&lt;L98,"חוסר",IF(K98&gt;L98,"עודף","תקין"))))</f>
        <v/>
      </c>
      <c r="Q98">
        <f>IF(O98="חוסר",M98-ROW()/100000,IF(O98="עודף",M98+ROW()/100000,""))</f>
        <v/>
      </c>
    </row>
    <row r="99">
      <c r="K99" s="24">
        <f>IF($B99="","",SUM(C99:J99))</f>
        <v/>
      </c>
      <c r="M99" s="24">
        <f>IF(OR($B99="",L99=""),"",K99-L99)</f>
        <v/>
      </c>
      <c r="N99" s="25">
        <f>IF(OR($B99="",L99="",L99=0),"",K99/L99)</f>
        <v/>
      </c>
      <c r="O99" s="24">
        <f>IF($B99="","",IF(L99="","אין מצאי",IF(K99&lt;L99,"חוסר",IF(K99&gt;L99,"עודף","תקין"))))</f>
        <v/>
      </c>
      <c r="Q99">
        <f>IF(O99="חוסר",M99-ROW()/100000,IF(O99="עודף",M99+ROW()/100000,""))</f>
        <v/>
      </c>
    </row>
    <row r="100">
      <c r="K100" s="24">
        <f>IF($B100="","",SUM(C100:J100))</f>
        <v/>
      </c>
      <c r="M100" s="24">
        <f>IF(OR($B100="",L100=""),"",K100-L100)</f>
        <v/>
      </c>
      <c r="N100" s="25">
        <f>IF(OR($B100="",L100="",L100=0),"",K100/L100)</f>
        <v/>
      </c>
      <c r="O100" s="24">
        <f>IF($B100="","",IF(L100="","אין מצאי",IF(K100&lt;L100,"חוסר",IF(K100&gt;L100,"עודף","תקין"))))</f>
        <v/>
      </c>
      <c r="Q100">
        <f>IF(O100="חוסר",M100-ROW()/100000,IF(O100="עודף",M100+ROW()/100000,""))</f>
        <v/>
      </c>
    </row>
    <row r="101">
      <c r="K101" s="24">
        <f>IF($B101="","",SUM(C101:J101))</f>
        <v/>
      </c>
      <c r="M101" s="24">
        <f>IF(OR($B101="",L101=""),"",K101-L101)</f>
        <v/>
      </c>
      <c r="N101" s="25">
        <f>IF(OR($B101="",L101="",L101=0),"",K101/L101)</f>
        <v/>
      </c>
      <c r="O101" s="24">
        <f>IF($B101="","",IF(L101="","אין מצאי",IF(K101&lt;L101,"חוסר",IF(K101&gt;L101,"עודף","תקין"))))</f>
        <v/>
      </c>
      <c r="Q101">
        <f>IF(O101="חוסר",M101-ROW()/100000,IF(O101="עודף",M101+ROW()/100000,""))</f>
        <v/>
      </c>
    </row>
    <row r="102">
      <c r="K102" s="24">
        <f>IF($B102="","",SUM(C102:J102))</f>
        <v/>
      </c>
      <c r="M102" s="24">
        <f>IF(OR($B102="",L102=""),"",K102-L102)</f>
        <v/>
      </c>
      <c r="N102" s="25">
        <f>IF(OR($B102="",L102="",L102=0),"",K102/L102)</f>
        <v/>
      </c>
      <c r="O102" s="24">
        <f>IF($B102="","",IF(L102="","אין מצאי",IF(K102&lt;L102,"חוסר",IF(K102&gt;L102,"עודף","תקין"))))</f>
        <v/>
      </c>
      <c r="Q102">
        <f>IF(O102="חוסר",M102-ROW()/100000,IF(O102="עודף",M102+ROW()/100000,""))</f>
        <v/>
      </c>
    </row>
    <row r="103">
      <c r="K103" s="24">
        <f>IF($B103="","",SUM(C103:J103))</f>
        <v/>
      </c>
      <c r="M103" s="24">
        <f>IF(OR($B103="",L103=""),"",K103-L103)</f>
        <v/>
      </c>
      <c r="N103" s="25">
        <f>IF(OR($B103="",L103="",L103=0),"",K103/L103)</f>
        <v/>
      </c>
      <c r="O103" s="24">
        <f>IF($B103="","",IF(L103="","אין מצאי",IF(K103&lt;L103,"חוסר",IF(K103&gt;L103,"עודף","תקין"))))</f>
        <v/>
      </c>
      <c r="Q103">
        <f>IF(O103="חוסר",M103-ROW()/100000,IF(O103="עודף",M103+ROW()/100000,""))</f>
        <v/>
      </c>
    </row>
    <row r="104">
      <c r="K104" s="24">
        <f>IF($B104="","",SUM(C104:J104))</f>
        <v/>
      </c>
      <c r="M104" s="24">
        <f>IF(OR($B104="",L104=""),"",K104-L104)</f>
        <v/>
      </c>
      <c r="N104" s="25">
        <f>IF(OR($B104="",L104="",L104=0),"",K104/L104)</f>
        <v/>
      </c>
      <c r="O104" s="24">
        <f>IF($B104="","",IF(L104="","אין מצאי",IF(K104&lt;L104,"חוסר",IF(K104&gt;L104,"עודף","תקין"))))</f>
        <v/>
      </c>
      <c r="Q104">
        <f>IF(O104="חוסר",M104-ROW()/100000,IF(O104="עודף",M104+ROW()/100000,""))</f>
        <v/>
      </c>
    </row>
    <row r="105">
      <c r="K105" s="24">
        <f>IF($B105="","",SUM(C105:J105))</f>
        <v/>
      </c>
      <c r="M105" s="24">
        <f>IF(OR($B105="",L105=""),"",K105-L105)</f>
        <v/>
      </c>
      <c r="N105" s="25">
        <f>IF(OR($B105="",L105="",L105=0),"",K105/L105)</f>
        <v/>
      </c>
      <c r="O105" s="24">
        <f>IF($B105="","",IF(L105="","אין מצאי",IF(K105&lt;L105,"חוסר",IF(K105&gt;L105,"עודף","תקין"))))</f>
        <v/>
      </c>
      <c r="Q105">
        <f>IF(O105="חוסר",M105-ROW()/100000,IF(O105="עודף",M105+ROW()/100000,""))</f>
        <v/>
      </c>
    </row>
    <row r="106">
      <c r="K106" s="24">
        <f>IF($B106="","",SUM(C106:J106))</f>
        <v/>
      </c>
      <c r="M106" s="24">
        <f>IF(OR($B106="",L106=""),"",K106-L106)</f>
        <v/>
      </c>
      <c r="N106" s="25">
        <f>IF(OR($B106="",L106="",L106=0),"",K106/L106)</f>
        <v/>
      </c>
      <c r="O106" s="24">
        <f>IF($B106="","",IF(L106="","אין מצאי",IF(K106&lt;L106,"חוסר",IF(K106&gt;L106,"עודף","תקין"))))</f>
        <v/>
      </c>
      <c r="Q106">
        <f>IF(O106="חוסר",M106-ROW()/100000,IF(O106="עודף",M106+ROW()/100000,""))</f>
        <v/>
      </c>
    </row>
    <row r="107">
      <c r="K107" s="24">
        <f>IF($B107="","",SUM(C107:J107))</f>
        <v/>
      </c>
      <c r="M107" s="24">
        <f>IF(OR($B107="",L107=""),"",K107-L107)</f>
        <v/>
      </c>
      <c r="N107" s="25">
        <f>IF(OR($B107="",L107="",L107=0),"",K107/L107)</f>
        <v/>
      </c>
      <c r="O107" s="24">
        <f>IF($B107="","",IF(L107="","אין מצאי",IF(K107&lt;L107,"חוסר",IF(K107&gt;L107,"עודף","תקין"))))</f>
        <v/>
      </c>
      <c r="Q107">
        <f>IF(O107="חוסר",M107-ROW()/100000,IF(O107="עודף",M107+ROW()/100000,""))</f>
        <v/>
      </c>
    </row>
    <row r="108">
      <c r="K108" s="24">
        <f>IF($B108="","",SUM(C108:J108))</f>
        <v/>
      </c>
      <c r="M108" s="24">
        <f>IF(OR($B108="",L108=""),"",K108-L108)</f>
        <v/>
      </c>
      <c r="N108" s="25">
        <f>IF(OR($B108="",L108="",L108=0),"",K108/L108)</f>
        <v/>
      </c>
      <c r="O108" s="24">
        <f>IF($B108="","",IF(L108="","אין מצאי",IF(K108&lt;L108,"חוסר",IF(K108&gt;L108,"עודף","תקין"))))</f>
        <v/>
      </c>
      <c r="Q108">
        <f>IF(O108="חוסר",M108-ROW()/100000,IF(O108="עודף",M108+ROW()/100000,""))</f>
        <v/>
      </c>
    </row>
    <row r="109">
      <c r="K109" s="24">
        <f>IF($B109="","",SUM(C109:J109))</f>
        <v/>
      </c>
      <c r="M109" s="24">
        <f>IF(OR($B109="",L109=""),"",K109-L109)</f>
        <v/>
      </c>
      <c r="N109" s="25">
        <f>IF(OR($B109="",L109="",L109=0),"",K109/L109)</f>
        <v/>
      </c>
      <c r="O109" s="24">
        <f>IF($B109="","",IF(L109="","אין מצאי",IF(K109&lt;L109,"חוסר",IF(K109&gt;L109,"עודף","תקין"))))</f>
        <v/>
      </c>
      <c r="Q109">
        <f>IF(O109="חוסר",M109-ROW()/100000,IF(O109="עודף",M109+ROW()/100000,""))</f>
        <v/>
      </c>
    </row>
    <row r="110">
      <c r="K110" s="24">
        <f>IF($B110="","",SUM(C110:J110))</f>
        <v/>
      </c>
      <c r="M110" s="24">
        <f>IF(OR($B110="",L110=""),"",K110-L110)</f>
        <v/>
      </c>
      <c r="N110" s="25">
        <f>IF(OR($B110="",L110="",L110=0),"",K110/L110)</f>
        <v/>
      </c>
      <c r="O110" s="24">
        <f>IF($B110="","",IF(L110="","אין מצאי",IF(K110&lt;L110,"חוסר",IF(K110&gt;L110,"עודף","תקין"))))</f>
        <v/>
      </c>
      <c r="Q110">
        <f>IF(O110="חוסר",M110-ROW()/100000,IF(O110="עודף",M110+ROW()/100000,""))</f>
        <v/>
      </c>
    </row>
    <row r="111">
      <c r="K111" s="24">
        <f>IF($B111="","",SUM(C111:J111))</f>
        <v/>
      </c>
      <c r="M111" s="24">
        <f>IF(OR($B111="",L111=""),"",K111-L111)</f>
        <v/>
      </c>
      <c r="N111" s="25">
        <f>IF(OR($B111="",L111="",L111=0),"",K111/L111)</f>
        <v/>
      </c>
      <c r="O111" s="24">
        <f>IF($B111="","",IF(L111="","אין מצאי",IF(K111&lt;L111,"חוסר",IF(K111&gt;L111,"עודף","תקין"))))</f>
        <v/>
      </c>
      <c r="Q111">
        <f>IF(O111="חוסר",M111-ROW()/100000,IF(O111="עודף",M111+ROW()/100000,""))</f>
        <v/>
      </c>
    </row>
    <row r="112">
      <c r="K112" s="24">
        <f>IF($B112="","",SUM(C112:J112))</f>
        <v/>
      </c>
      <c r="M112" s="24">
        <f>IF(OR($B112="",L112=""),"",K112-L112)</f>
        <v/>
      </c>
      <c r="N112" s="25">
        <f>IF(OR($B112="",L112="",L112=0),"",K112/L112)</f>
        <v/>
      </c>
      <c r="O112" s="24">
        <f>IF($B112="","",IF(L112="","אין מצאי",IF(K112&lt;L112,"חוסר",IF(K112&gt;L112,"עודף","תקין"))))</f>
        <v/>
      </c>
      <c r="Q112">
        <f>IF(O112="חוסר",M112-ROW()/100000,IF(O112="עודף",M112+ROW()/100000,""))</f>
        <v/>
      </c>
    </row>
    <row r="113">
      <c r="K113" s="24">
        <f>IF($B113="","",SUM(C113:J113))</f>
        <v/>
      </c>
      <c r="M113" s="24">
        <f>IF(OR($B113="",L113=""),"",K113-L113)</f>
        <v/>
      </c>
      <c r="N113" s="25">
        <f>IF(OR($B113="",L113="",L113=0),"",K113/L113)</f>
        <v/>
      </c>
      <c r="O113" s="24">
        <f>IF($B113="","",IF(L113="","אין מצאי",IF(K113&lt;L113,"חוסר",IF(K113&gt;L113,"עודף","תקין"))))</f>
        <v/>
      </c>
      <c r="Q113">
        <f>IF(O113="חוסר",M113-ROW()/100000,IF(O113="עודף",M113+ROW()/100000,""))</f>
        <v/>
      </c>
    </row>
    <row r="114">
      <c r="K114" s="24">
        <f>IF($B114="","",SUM(C114:J114))</f>
        <v/>
      </c>
      <c r="M114" s="24">
        <f>IF(OR($B114="",L114=""),"",K114-L114)</f>
        <v/>
      </c>
      <c r="N114" s="25">
        <f>IF(OR($B114="",L114="",L114=0),"",K114/L114)</f>
        <v/>
      </c>
      <c r="O114" s="24">
        <f>IF($B114="","",IF(L114="","אין מצאי",IF(K114&lt;L114,"חוסר",IF(K114&gt;L114,"עודף","תקין"))))</f>
        <v/>
      </c>
      <c r="Q114">
        <f>IF(O114="חוסר",M114-ROW()/100000,IF(O114="עודף",M114+ROW()/100000,""))</f>
        <v/>
      </c>
    </row>
    <row r="115">
      <c r="K115" s="24">
        <f>IF($B115="","",SUM(C115:J115))</f>
        <v/>
      </c>
      <c r="M115" s="24">
        <f>IF(OR($B115="",L115=""),"",K115-L115)</f>
        <v/>
      </c>
      <c r="N115" s="25">
        <f>IF(OR($B115="",L115="",L115=0),"",K115/L115)</f>
        <v/>
      </c>
      <c r="O115" s="24">
        <f>IF($B115="","",IF(L115="","אין מצאי",IF(K115&lt;L115,"חוסר",IF(K115&gt;L115,"עודף","תקין"))))</f>
        <v/>
      </c>
      <c r="Q115">
        <f>IF(O115="חוסר",M115-ROW()/100000,IF(O115="עודף",M115+ROW()/100000,""))</f>
        <v/>
      </c>
    </row>
    <row r="116">
      <c r="K116" s="24">
        <f>IF($B116="","",SUM(C116:J116))</f>
        <v/>
      </c>
      <c r="M116" s="24">
        <f>IF(OR($B116="",L116=""),"",K116-L116)</f>
        <v/>
      </c>
      <c r="N116" s="25">
        <f>IF(OR($B116="",L116="",L116=0),"",K116/L116)</f>
        <v/>
      </c>
      <c r="O116" s="24">
        <f>IF($B116="","",IF(L116="","אין מצאי",IF(K116&lt;L116,"חוסר",IF(K116&gt;L116,"עודף","תקין"))))</f>
        <v/>
      </c>
      <c r="Q116">
        <f>IF(O116="חוסר",M116-ROW()/100000,IF(O116="עודף",M116+ROW()/100000,""))</f>
        <v/>
      </c>
    </row>
    <row r="117">
      <c r="K117" s="24">
        <f>IF($B117="","",SUM(C117:J117))</f>
        <v/>
      </c>
      <c r="M117" s="24">
        <f>IF(OR($B117="",L117=""),"",K117-L117)</f>
        <v/>
      </c>
      <c r="N117" s="25">
        <f>IF(OR($B117="",L117="",L117=0),"",K117/L117)</f>
        <v/>
      </c>
      <c r="O117" s="24">
        <f>IF($B117="","",IF(L117="","אין מצאי",IF(K117&lt;L117,"חוסר",IF(K117&gt;L117,"עודף","תקין"))))</f>
        <v/>
      </c>
      <c r="Q117">
        <f>IF(O117="חוסר",M117-ROW()/100000,IF(O117="עודף",M117+ROW()/100000,""))</f>
        <v/>
      </c>
    </row>
    <row r="118">
      <c r="K118" s="24">
        <f>IF($B118="","",SUM(C118:J118))</f>
        <v/>
      </c>
      <c r="M118" s="24">
        <f>IF(OR($B118="",L118=""),"",K118-L118)</f>
        <v/>
      </c>
      <c r="N118" s="25">
        <f>IF(OR($B118="",L118="",L118=0),"",K118/L118)</f>
        <v/>
      </c>
      <c r="O118" s="24">
        <f>IF($B118="","",IF(L118="","אין מצאי",IF(K118&lt;L118,"חוסר",IF(K118&gt;L118,"עודף","תקין"))))</f>
        <v/>
      </c>
      <c r="Q118">
        <f>IF(O118="חוסר",M118-ROW()/100000,IF(O118="עודף",M118+ROW()/100000,""))</f>
        <v/>
      </c>
    </row>
    <row r="119">
      <c r="K119" s="24">
        <f>IF($B119="","",SUM(C119:J119))</f>
        <v/>
      </c>
      <c r="M119" s="24">
        <f>IF(OR($B119="",L119=""),"",K119-L119)</f>
        <v/>
      </c>
      <c r="N119" s="25">
        <f>IF(OR($B119="",L119="",L119=0),"",K119/L119)</f>
        <v/>
      </c>
      <c r="O119" s="24">
        <f>IF($B119="","",IF(L119="","אין מצאי",IF(K119&lt;L119,"חוסר",IF(K119&gt;L119,"עודף","תקין"))))</f>
        <v/>
      </c>
      <c r="Q119">
        <f>IF(O119="חוסר",M119-ROW()/100000,IF(O119="עודף",M119+ROW()/100000,""))</f>
        <v/>
      </c>
    </row>
    <row r="120">
      <c r="K120" s="24">
        <f>IF($B120="","",SUM(C120:J120))</f>
        <v/>
      </c>
      <c r="M120" s="24">
        <f>IF(OR($B120="",L120=""),"",K120-L120)</f>
        <v/>
      </c>
      <c r="N120" s="25">
        <f>IF(OR($B120="",L120="",L120=0),"",K120/L120)</f>
        <v/>
      </c>
      <c r="O120" s="24">
        <f>IF($B120="","",IF(L120="","אין מצאי",IF(K120&lt;L120,"חוסר",IF(K120&gt;L120,"עודף","תקין"))))</f>
        <v/>
      </c>
      <c r="Q120">
        <f>IF(O120="חוסר",M120-ROW()/100000,IF(O120="עודף",M120+ROW()/100000,""))</f>
        <v/>
      </c>
    </row>
    <row r="121">
      <c r="K121" s="24">
        <f>IF($B121="","",SUM(C121:J121))</f>
        <v/>
      </c>
      <c r="M121" s="24">
        <f>IF(OR($B121="",L121=""),"",K121-L121)</f>
        <v/>
      </c>
      <c r="N121" s="25">
        <f>IF(OR($B121="",L121="",L121=0),"",K121/L121)</f>
        <v/>
      </c>
      <c r="O121" s="24">
        <f>IF($B121="","",IF(L121="","אין מצאי",IF(K121&lt;L121,"חוסר",IF(K121&gt;L121,"עודף","תקין"))))</f>
        <v/>
      </c>
      <c r="Q121">
        <f>IF(O121="חוסר",M121-ROW()/100000,IF(O121="עודף",M121+ROW()/100000,""))</f>
        <v/>
      </c>
    </row>
    <row r="122">
      <c r="K122" s="24">
        <f>IF($B122="","",SUM(C122:J122))</f>
        <v/>
      </c>
      <c r="M122" s="24">
        <f>IF(OR($B122="",L122=""),"",K122-L122)</f>
        <v/>
      </c>
      <c r="N122" s="25">
        <f>IF(OR($B122="",L122="",L122=0),"",K122/L122)</f>
        <v/>
      </c>
      <c r="O122" s="24">
        <f>IF($B122="","",IF(L122="","אין מצאי",IF(K122&lt;L122,"חוסר",IF(K122&gt;L122,"עודף","תקין"))))</f>
        <v/>
      </c>
      <c r="Q122">
        <f>IF(O122="חוסר",M122-ROW()/100000,IF(O122="עודף",M122+ROW()/100000,""))</f>
        <v/>
      </c>
    </row>
    <row r="123">
      <c r="K123" s="24">
        <f>IF($B123="","",SUM(C123:J123))</f>
        <v/>
      </c>
      <c r="M123" s="24">
        <f>IF(OR($B123="",L123=""),"",K123-L123)</f>
        <v/>
      </c>
      <c r="N123" s="25">
        <f>IF(OR($B123="",L123="",L123=0),"",K123/L123)</f>
        <v/>
      </c>
      <c r="O123" s="24">
        <f>IF($B123="","",IF(L123="","אין מצאי",IF(K123&lt;L123,"חוסר",IF(K123&gt;L123,"עודף","תקין"))))</f>
        <v/>
      </c>
      <c r="Q123">
        <f>IF(O123="חוסר",M123-ROW()/100000,IF(O123="עודף",M123+ROW()/100000,""))</f>
        <v/>
      </c>
    </row>
    <row r="124">
      <c r="K124" s="24">
        <f>IF($B124="","",SUM(C124:J124))</f>
        <v/>
      </c>
      <c r="M124" s="24">
        <f>IF(OR($B124="",L124=""),"",K124-L124)</f>
        <v/>
      </c>
      <c r="N124" s="25">
        <f>IF(OR($B124="",L124="",L124=0),"",K124/L124)</f>
        <v/>
      </c>
      <c r="O124" s="24">
        <f>IF($B124="","",IF(L124="","אין מצאי",IF(K124&lt;L124,"חוסר",IF(K124&gt;L124,"עודף","תקין"))))</f>
        <v/>
      </c>
      <c r="Q124">
        <f>IF(O124="חוסר",M124-ROW()/100000,IF(O124="עודף",M124+ROW()/100000,""))</f>
        <v/>
      </c>
    </row>
    <row r="125">
      <c r="K125" s="24">
        <f>IF($B125="","",SUM(C125:J125))</f>
        <v/>
      </c>
      <c r="M125" s="24">
        <f>IF(OR($B125="",L125=""),"",K125-L125)</f>
        <v/>
      </c>
      <c r="N125" s="25">
        <f>IF(OR($B125="",L125="",L125=0),"",K125/L125)</f>
        <v/>
      </c>
      <c r="O125" s="24">
        <f>IF($B125="","",IF(L125="","אין מצאי",IF(K125&lt;L125,"חוסר",IF(K125&gt;L125,"עודף","תקין"))))</f>
        <v/>
      </c>
      <c r="Q125">
        <f>IF(O125="חוסר",M125-ROW()/100000,IF(O125="עודף",M125+ROW()/100000,""))</f>
        <v/>
      </c>
    </row>
    <row r="126">
      <c r="K126" s="24">
        <f>IF($B126="","",SUM(C126:J126))</f>
        <v/>
      </c>
      <c r="M126" s="24">
        <f>IF(OR($B126="",L126=""),"",K126-L126)</f>
        <v/>
      </c>
      <c r="N126" s="25">
        <f>IF(OR($B126="",L126="",L126=0),"",K126/L126)</f>
        <v/>
      </c>
      <c r="O126" s="24">
        <f>IF($B126="","",IF(L126="","אין מצאי",IF(K126&lt;L126,"חוסר",IF(K126&gt;L126,"עודף","תקין"))))</f>
        <v/>
      </c>
      <c r="Q126">
        <f>IF(O126="חוסר",M126-ROW()/100000,IF(O126="עודף",M126+ROW()/100000,""))</f>
        <v/>
      </c>
    </row>
    <row r="127">
      <c r="K127" s="24">
        <f>IF($B127="","",SUM(C127:J127))</f>
        <v/>
      </c>
      <c r="M127" s="24">
        <f>IF(OR($B127="",L127=""),"",K127-L127)</f>
        <v/>
      </c>
      <c r="N127" s="25">
        <f>IF(OR($B127="",L127="",L127=0),"",K127/L127)</f>
        <v/>
      </c>
      <c r="O127" s="24">
        <f>IF($B127="","",IF(L127="","אין מצאי",IF(K127&lt;L127,"חוסר",IF(K127&gt;L127,"עודף","תקין"))))</f>
        <v/>
      </c>
      <c r="Q127">
        <f>IF(O127="חוסר",M127-ROW()/100000,IF(O127="עודף",M127+ROW()/100000,""))</f>
        <v/>
      </c>
    </row>
    <row r="128">
      <c r="K128" s="24">
        <f>IF($B128="","",SUM(C128:J128))</f>
        <v/>
      </c>
      <c r="M128" s="24">
        <f>IF(OR($B128="",L128=""),"",K128-L128)</f>
        <v/>
      </c>
      <c r="N128" s="25">
        <f>IF(OR($B128="",L128="",L128=0),"",K128/L128)</f>
        <v/>
      </c>
      <c r="O128" s="24">
        <f>IF($B128="","",IF(L128="","אין מצאי",IF(K128&lt;L128,"חוסר",IF(K128&gt;L128,"עודף","תקין"))))</f>
        <v/>
      </c>
      <c r="Q128">
        <f>IF(O128="חוסר",M128-ROW()/100000,IF(O128="עודף",M128+ROW()/100000,""))</f>
        <v/>
      </c>
    </row>
    <row r="129">
      <c r="K129" s="24">
        <f>IF($B129="","",SUM(C129:J129))</f>
        <v/>
      </c>
      <c r="M129" s="24">
        <f>IF(OR($B129="",L129=""),"",K129-L129)</f>
        <v/>
      </c>
      <c r="N129" s="25">
        <f>IF(OR($B129="",L129="",L129=0),"",K129/L129)</f>
        <v/>
      </c>
      <c r="O129" s="24">
        <f>IF($B129="","",IF(L129="","אין מצאי",IF(K129&lt;L129,"חוסר",IF(K129&gt;L129,"עודף","תקין"))))</f>
        <v/>
      </c>
      <c r="Q129">
        <f>IF(O129="חוסר",M129-ROW()/100000,IF(O129="עודף",M129+ROW()/100000,""))</f>
        <v/>
      </c>
    </row>
    <row r="130">
      <c r="K130" s="24">
        <f>IF($B130="","",SUM(C130:J130))</f>
        <v/>
      </c>
      <c r="M130" s="24">
        <f>IF(OR($B130="",L130=""),"",K130-L130)</f>
        <v/>
      </c>
      <c r="N130" s="25">
        <f>IF(OR($B130="",L130="",L130=0),"",K130/L130)</f>
        <v/>
      </c>
      <c r="O130" s="24">
        <f>IF($B130="","",IF(L130="","אין מצאי",IF(K130&lt;L130,"חוסר",IF(K130&gt;L130,"עודף","תקין"))))</f>
        <v/>
      </c>
      <c r="Q130">
        <f>IF(O130="חוסר",M130-ROW()/100000,IF(O130="עודף",M130+ROW()/100000,""))</f>
        <v/>
      </c>
    </row>
    <row r="131">
      <c r="K131" s="24">
        <f>IF($B131="","",SUM(C131:J131))</f>
        <v/>
      </c>
      <c r="M131" s="24">
        <f>IF(OR($B131="",L131=""),"",K131-L131)</f>
        <v/>
      </c>
      <c r="N131" s="25">
        <f>IF(OR($B131="",L131="",L131=0),"",K131/L131)</f>
        <v/>
      </c>
      <c r="O131" s="24">
        <f>IF($B131="","",IF(L131="","אין מצאי",IF(K131&lt;L131,"חוסר",IF(K131&gt;L131,"עודף","תקין"))))</f>
        <v/>
      </c>
      <c r="Q131">
        <f>IF(O131="חוסר",M131-ROW()/100000,IF(O131="עודף",M131+ROW()/100000,""))</f>
        <v/>
      </c>
    </row>
    <row r="132">
      <c r="K132" s="24">
        <f>IF($B132="","",SUM(C132:J132))</f>
        <v/>
      </c>
      <c r="M132" s="24">
        <f>IF(OR($B132="",L132=""),"",K132-L132)</f>
        <v/>
      </c>
      <c r="N132" s="25">
        <f>IF(OR($B132="",L132="",L132=0),"",K132/L132)</f>
        <v/>
      </c>
      <c r="O132" s="24">
        <f>IF($B132="","",IF(L132="","אין מצאי",IF(K132&lt;L132,"חוסר",IF(K132&gt;L132,"עודף","תקין"))))</f>
        <v/>
      </c>
      <c r="Q132">
        <f>IF(O132="חוסר",M132-ROW()/100000,IF(O132="עודף",M132+ROW()/100000,""))</f>
        <v/>
      </c>
    </row>
    <row r="133">
      <c r="K133" s="24">
        <f>IF($B133="","",SUM(C133:J133))</f>
        <v/>
      </c>
      <c r="M133" s="24">
        <f>IF(OR($B133="",L133=""),"",K133-L133)</f>
        <v/>
      </c>
      <c r="N133" s="25">
        <f>IF(OR($B133="",L133="",L133=0),"",K133/L133)</f>
        <v/>
      </c>
      <c r="O133" s="24">
        <f>IF($B133="","",IF(L133="","אין מצאי",IF(K133&lt;L133,"חוסר",IF(K133&gt;L133,"עודף","תקין"))))</f>
        <v/>
      </c>
      <c r="Q133">
        <f>IF(O133="חוסר",M133-ROW()/100000,IF(O133="עודף",M133+ROW()/100000,""))</f>
        <v/>
      </c>
    </row>
    <row r="134">
      <c r="K134" s="24">
        <f>IF($B134="","",SUM(C134:J134))</f>
        <v/>
      </c>
      <c r="M134" s="24">
        <f>IF(OR($B134="",L134=""),"",K134-L134)</f>
        <v/>
      </c>
      <c r="N134" s="25">
        <f>IF(OR($B134="",L134="",L134=0),"",K134/L134)</f>
        <v/>
      </c>
      <c r="O134" s="24">
        <f>IF($B134="","",IF(L134="","אין מצאי",IF(K134&lt;L134,"חוסר",IF(K134&gt;L134,"עודף","תקין"))))</f>
        <v/>
      </c>
      <c r="Q134">
        <f>IF(O134="חוסר",M134-ROW()/100000,IF(O134="עודף",M134+ROW()/100000,""))</f>
        <v/>
      </c>
    </row>
    <row r="135">
      <c r="K135" s="24">
        <f>IF($B135="","",SUM(C135:J135))</f>
        <v/>
      </c>
      <c r="M135" s="24">
        <f>IF(OR($B135="",L135=""),"",K135-L135)</f>
        <v/>
      </c>
      <c r="N135" s="25">
        <f>IF(OR($B135="",L135="",L135=0),"",K135/L135)</f>
        <v/>
      </c>
      <c r="O135" s="24">
        <f>IF($B135="","",IF(L135="","אין מצאי",IF(K135&lt;L135,"חוסר",IF(K135&gt;L135,"עודף","תקין"))))</f>
        <v/>
      </c>
      <c r="Q135">
        <f>IF(O135="חוסר",M135-ROW()/100000,IF(O135="עודף",M135+ROW()/100000,""))</f>
        <v/>
      </c>
    </row>
    <row r="136">
      <c r="K136" s="24">
        <f>IF($B136="","",SUM(C136:J136))</f>
        <v/>
      </c>
      <c r="M136" s="24">
        <f>IF(OR($B136="",L136=""),"",K136-L136)</f>
        <v/>
      </c>
      <c r="N136" s="25">
        <f>IF(OR($B136="",L136="",L136=0),"",K136/L136)</f>
        <v/>
      </c>
      <c r="O136" s="24">
        <f>IF($B136="","",IF(L136="","אין מצאי",IF(K136&lt;L136,"חוסר",IF(K136&gt;L136,"עודף","תקין"))))</f>
        <v/>
      </c>
      <c r="Q136">
        <f>IF(O136="חוסר",M136-ROW()/100000,IF(O136="עודף",M136+ROW()/100000,""))</f>
        <v/>
      </c>
    </row>
    <row r="137">
      <c r="K137" s="24">
        <f>IF($B137="","",SUM(C137:J137))</f>
        <v/>
      </c>
      <c r="M137" s="24">
        <f>IF(OR($B137="",L137=""),"",K137-L137)</f>
        <v/>
      </c>
      <c r="N137" s="25">
        <f>IF(OR($B137="",L137="",L137=0),"",K137/L137)</f>
        <v/>
      </c>
      <c r="O137" s="24">
        <f>IF($B137="","",IF(L137="","אין מצאי",IF(K137&lt;L137,"חוסר",IF(K137&gt;L137,"עודף","תקין"))))</f>
        <v/>
      </c>
      <c r="Q137">
        <f>IF(O137="חוסר",M137-ROW()/100000,IF(O137="עודף",M137+ROW()/100000,""))</f>
        <v/>
      </c>
    </row>
    <row r="138">
      <c r="K138" s="24">
        <f>IF($B138="","",SUM(C138:J138))</f>
        <v/>
      </c>
      <c r="M138" s="24">
        <f>IF(OR($B138="",L138=""),"",K138-L138)</f>
        <v/>
      </c>
      <c r="N138" s="25">
        <f>IF(OR($B138="",L138="",L138=0),"",K138/L138)</f>
        <v/>
      </c>
      <c r="O138" s="24">
        <f>IF($B138="","",IF(L138="","אין מצאי",IF(K138&lt;L138,"חוסר",IF(K138&gt;L138,"עודף","תקין"))))</f>
        <v/>
      </c>
      <c r="Q138">
        <f>IF(O138="חוסר",M138-ROW()/100000,IF(O138="עודף",M138+ROW()/100000,""))</f>
        <v/>
      </c>
    </row>
    <row r="139">
      <c r="K139" s="24">
        <f>IF($B139="","",SUM(C139:J139))</f>
        <v/>
      </c>
      <c r="M139" s="24">
        <f>IF(OR($B139="",L139=""),"",K139-L139)</f>
        <v/>
      </c>
      <c r="N139" s="25">
        <f>IF(OR($B139="",L139="",L139=0),"",K139/L139)</f>
        <v/>
      </c>
      <c r="O139" s="24">
        <f>IF($B139="","",IF(L139="","אין מצאי",IF(K139&lt;L139,"חוסר",IF(K139&gt;L139,"עודף","תקין"))))</f>
        <v/>
      </c>
      <c r="Q139">
        <f>IF(O139="חוסר",M139-ROW()/100000,IF(O139="עודף",M139+ROW()/100000,""))</f>
        <v/>
      </c>
    </row>
    <row r="140">
      <c r="K140" s="24">
        <f>IF($B140="","",SUM(C140:J140))</f>
        <v/>
      </c>
      <c r="M140" s="24">
        <f>IF(OR($B140="",L140=""),"",K140-L140)</f>
        <v/>
      </c>
      <c r="N140" s="25">
        <f>IF(OR($B140="",L140="",L140=0),"",K140/L140)</f>
        <v/>
      </c>
      <c r="O140" s="24">
        <f>IF($B140="","",IF(L140="","אין מצאי",IF(K140&lt;L140,"חוסר",IF(K140&gt;L140,"עודף","תקין"))))</f>
        <v/>
      </c>
      <c r="Q140">
        <f>IF(O140="חוסר",M140-ROW()/100000,IF(O140="עודף",M140+ROW()/100000,""))</f>
        <v/>
      </c>
    </row>
    <row r="141">
      <c r="K141" s="24">
        <f>IF($B141="","",SUM(C141:J141))</f>
        <v/>
      </c>
      <c r="M141" s="24">
        <f>IF(OR($B141="",L141=""),"",K141-L141)</f>
        <v/>
      </c>
      <c r="N141" s="25">
        <f>IF(OR($B141="",L141="",L141=0),"",K141/L141)</f>
        <v/>
      </c>
      <c r="O141" s="24">
        <f>IF($B141="","",IF(L141="","אין מצאי",IF(K141&lt;L141,"חוסר",IF(K141&gt;L141,"עודף","תקין"))))</f>
        <v/>
      </c>
      <c r="Q141">
        <f>IF(O141="חוסר",M141-ROW()/100000,IF(O141="עודף",M141+ROW()/100000,""))</f>
        <v/>
      </c>
    </row>
    <row r="142">
      <c r="K142" s="24">
        <f>IF($B142="","",SUM(C142:J142))</f>
        <v/>
      </c>
      <c r="M142" s="24">
        <f>IF(OR($B142="",L142=""),"",K142-L142)</f>
        <v/>
      </c>
      <c r="N142" s="25">
        <f>IF(OR($B142="",L142="",L142=0),"",K142/L142)</f>
        <v/>
      </c>
      <c r="O142" s="24">
        <f>IF($B142="","",IF(L142="","אין מצאי",IF(K142&lt;L142,"חוסר",IF(K142&gt;L142,"עודף","תקין"))))</f>
        <v/>
      </c>
      <c r="Q142">
        <f>IF(O142="חוסר",M142-ROW()/100000,IF(O142="עודף",M142+ROW()/100000,""))</f>
        <v/>
      </c>
    </row>
    <row r="143">
      <c r="K143" s="24">
        <f>IF($B143="","",SUM(C143:J143))</f>
        <v/>
      </c>
      <c r="M143" s="24">
        <f>IF(OR($B143="",L143=""),"",K143-L143)</f>
        <v/>
      </c>
      <c r="N143" s="25">
        <f>IF(OR($B143="",L143="",L143=0),"",K143/L143)</f>
        <v/>
      </c>
      <c r="O143" s="24">
        <f>IF($B143="","",IF(L143="","אין מצאי",IF(K143&lt;L143,"חוסר",IF(K143&gt;L143,"עודף","תקין"))))</f>
        <v/>
      </c>
      <c r="Q143">
        <f>IF(O143="חוסר",M143-ROW()/100000,IF(O143="עודף",M143+ROW()/100000,""))</f>
        <v/>
      </c>
    </row>
    <row r="144">
      <c r="K144" s="24">
        <f>IF($B144="","",SUM(C144:J144))</f>
        <v/>
      </c>
      <c r="M144" s="24">
        <f>IF(OR($B144="",L144=""),"",K144-L144)</f>
        <v/>
      </c>
      <c r="N144" s="25">
        <f>IF(OR($B144="",L144="",L144=0),"",K144/L144)</f>
        <v/>
      </c>
      <c r="O144" s="24">
        <f>IF($B144="","",IF(L144="","אין מצאי",IF(K144&lt;L144,"חוסר",IF(K144&gt;L144,"עודף","תקין"))))</f>
        <v/>
      </c>
      <c r="Q144">
        <f>IF(O144="חוסר",M144-ROW()/100000,IF(O144="עודף",M144+ROW()/100000,""))</f>
        <v/>
      </c>
    </row>
    <row r="145">
      <c r="K145" s="24">
        <f>IF($B145="","",SUM(C145:J145))</f>
        <v/>
      </c>
      <c r="M145" s="24">
        <f>IF(OR($B145="",L145=""),"",K145-L145)</f>
        <v/>
      </c>
      <c r="N145" s="25">
        <f>IF(OR($B145="",L145="",L145=0),"",K145/L145)</f>
        <v/>
      </c>
      <c r="O145" s="24">
        <f>IF($B145="","",IF(L145="","אין מצאי",IF(K145&lt;L145,"חוסר",IF(K145&gt;L145,"עודף","תקין"))))</f>
        <v/>
      </c>
      <c r="Q145">
        <f>IF(O145="חוסר",M145-ROW()/100000,IF(O145="עודף",M145+ROW()/100000,""))</f>
        <v/>
      </c>
    </row>
    <row r="146">
      <c r="K146" s="24">
        <f>IF($B146="","",SUM(C146:J146))</f>
        <v/>
      </c>
      <c r="M146" s="24">
        <f>IF(OR($B146="",L146=""),"",K146-L146)</f>
        <v/>
      </c>
      <c r="N146" s="25">
        <f>IF(OR($B146="",L146="",L146=0),"",K146/L146)</f>
        <v/>
      </c>
      <c r="O146" s="24">
        <f>IF($B146="","",IF(L146="","אין מצאי",IF(K146&lt;L146,"חוסר",IF(K146&gt;L146,"עודף","תקין"))))</f>
        <v/>
      </c>
      <c r="Q146">
        <f>IF(O146="חוסר",M146-ROW()/100000,IF(O146="עודף",M146+ROW()/100000,""))</f>
        <v/>
      </c>
    </row>
    <row r="147">
      <c r="K147" s="24">
        <f>IF($B147="","",SUM(C147:J147))</f>
        <v/>
      </c>
      <c r="M147" s="24">
        <f>IF(OR($B147="",L147=""),"",K147-L147)</f>
        <v/>
      </c>
      <c r="N147" s="25">
        <f>IF(OR($B147="",L147="",L147=0),"",K147/L147)</f>
        <v/>
      </c>
      <c r="O147" s="24">
        <f>IF($B147="","",IF(L147="","אין מצאי",IF(K147&lt;L147,"חוסר",IF(K147&gt;L147,"עודף","תקין"))))</f>
        <v/>
      </c>
      <c r="Q147">
        <f>IF(O147="חוסר",M147-ROW()/100000,IF(O147="עודף",M147+ROW()/100000,""))</f>
        <v/>
      </c>
    </row>
    <row r="148">
      <c r="K148" s="24">
        <f>IF($B148="","",SUM(C148:J148))</f>
        <v/>
      </c>
      <c r="M148" s="24">
        <f>IF(OR($B148="",L148=""),"",K148-L148)</f>
        <v/>
      </c>
      <c r="N148" s="25">
        <f>IF(OR($B148="",L148="",L148=0),"",K148/L148)</f>
        <v/>
      </c>
      <c r="O148" s="24">
        <f>IF($B148="","",IF(L148="","אין מצאי",IF(K148&lt;L148,"חוסר",IF(K148&gt;L148,"עודף","תקין"))))</f>
        <v/>
      </c>
      <c r="Q148">
        <f>IF(O148="חוסר",M148-ROW()/100000,IF(O148="עודף",M148+ROW()/100000,""))</f>
        <v/>
      </c>
    </row>
    <row r="149">
      <c r="K149" s="24">
        <f>IF($B149="","",SUM(C149:J149))</f>
        <v/>
      </c>
      <c r="M149" s="24">
        <f>IF(OR($B149="",L149=""),"",K149-L149)</f>
        <v/>
      </c>
      <c r="N149" s="25">
        <f>IF(OR($B149="",L149="",L149=0),"",K149/L149)</f>
        <v/>
      </c>
      <c r="O149" s="24">
        <f>IF($B149="","",IF(L149="","אין מצאי",IF(K149&lt;L149,"חוסר",IF(K149&gt;L149,"עודף","תקין"))))</f>
        <v/>
      </c>
      <c r="Q149">
        <f>IF(O149="חוסר",M149-ROW()/100000,IF(O149="עודף",M149+ROW()/100000,""))</f>
        <v/>
      </c>
    </row>
    <row r="150">
      <c r="K150" s="24">
        <f>IF($B150="","",SUM(C150:J150))</f>
        <v/>
      </c>
      <c r="M150" s="24">
        <f>IF(OR($B150="",L150=""),"",K150-L150)</f>
        <v/>
      </c>
      <c r="N150" s="25">
        <f>IF(OR($B150="",L150="",L150=0),"",K150/L150)</f>
        <v/>
      </c>
      <c r="O150" s="24">
        <f>IF($B150="","",IF(L150="","אין מצאי",IF(K150&lt;L150,"חוסר",IF(K150&gt;L150,"עודף","תקין"))))</f>
        <v/>
      </c>
      <c r="Q150">
        <f>IF(O150="חוסר",M150-ROW()/100000,IF(O150="עודף",M150+ROW()/100000,""))</f>
        <v/>
      </c>
    </row>
    <row r="151">
      <c r="K151" s="24">
        <f>IF($B151="","",SUM(C151:J151))</f>
        <v/>
      </c>
      <c r="M151" s="24">
        <f>IF(OR($B151="",L151=""),"",K151-L151)</f>
        <v/>
      </c>
      <c r="N151" s="25">
        <f>IF(OR($B151="",L151="",L151=0),"",K151/L151)</f>
        <v/>
      </c>
      <c r="O151" s="24">
        <f>IF($B151="","",IF(L151="","אין מצאי",IF(K151&lt;L151,"חוסר",IF(K151&gt;L151,"עודף","תקין"))))</f>
        <v/>
      </c>
      <c r="Q151">
        <f>IF(O151="חוסר",M151-ROW()/100000,IF(O151="עודף",M151+ROW()/100000,""))</f>
        <v/>
      </c>
    </row>
    <row r="152">
      <c r="K152" s="24">
        <f>IF($B152="","",SUM(C152:J152))</f>
        <v/>
      </c>
      <c r="M152" s="24">
        <f>IF(OR($B152="",L152=""),"",K152-L152)</f>
        <v/>
      </c>
      <c r="N152" s="25">
        <f>IF(OR($B152="",L152="",L152=0),"",K152/L152)</f>
        <v/>
      </c>
      <c r="O152" s="24">
        <f>IF($B152="","",IF(L152="","אין מצאי",IF(K152&lt;L152,"חוסר",IF(K152&gt;L152,"עודף","תקין"))))</f>
        <v/>
      </c>
      <c r="Q152">
        <f>IF(O152="חוסר",M152-ROW()/100000,IF(O152="עודף",M152+ROW()/100000,""))</f>
        <v/>
      </c>
    </row>
    <row r="153">
      <c r="K153" s="24">
        <f>IF($B153="","",SUM(C153:J153))</f>
        <v/>
      </c>
      <c r="M153" s="24">
        <f>IF(OR($B153="",L153=""),"",K153-L153)</f>
        <v/>
      </c>
      <c r="N153" s="25">
        <f>IF(OR($B153="",L153="",L153=0),"",K153/L153)</f>
        <v/>
      </c>
      <c r="O153" s="24">
        <f>IF($B153="","",IF(L153="","אין מצאי",IF(K153&lt;L153,"חוסר",IF(K153&gt;L153,"עודף","תקין"))))</f>
        <v/>
      </c>
      <c r="Q153">
        <f>IF(O153="חוסר",M153-ROW()/100000,IF(O153="עודף",M153+ROW()/100000,""))</f>
        <v/>
      </c>
    </row>
    <row r="154">
      <c r="K154" s="24">
        <f>IF($B154="","",SUM(C154:J154))</f>
        <v/>
      </c>
      <c r="M154" s="24">
        <f>IF(OR($B154="",L154=""),"",K154-L154)</f>
        <v/>
      </c>
      <c r="N154" s="25">
        <f>IF(OR($B154="",L154="",L154=0),"",K154/L154)</f>
        <v/>
      </c>
      <c r="O154" s="24">
        <f>IF($B154="","",IF(L154="","אין מצאי",IF(K154&lt;L154,"חוסר",IF(K154&gt;L154,"עודף","תקין"))))</f>
        <v/>
      </c>
      <c r="Q154">
        <f>IF(O154="חוסר",M154-ROW()/100000,IF(O154="עודף",M154+ROW()/100000,""))</f>
        <v/>
      </c>
    </row>
    <row r="155">
      <c r="K155" s="24">
        <f>IF($B155="","",SUM(C155:J155))</f>
        <v/>
      </c>
      <c r="M155" s="24">
        <f>IF(OR($B155="",L155=""),"",K155-L155)</f>
        <v/>
      </c>
      <c r="N155" s="25">
        <f>IF(OR($B155="",L155="",L155=0),"",K155/L155)</f>
        <v/>
      </c>
      <c r="O155" s="24">
        <f>IF($B155="","",IF(L155="","אין מצאי",IF(K155&lt;L155,"חוסר",IF(K155&gt;L155,"עודף","תקין"))))</f>
        <v/>
      </c>
      <c r="Q155">
        <f>IF(O155="חוסר",M155-ROW()/100000,IF(O155="עודף",M155+ROW()/100000,""))</f>
        <v/>
      </c>
    </row>
    <row r="156">
      <c r="K156" s="24">
        <f>IF($B156="","",SUM(C156:J156))</f>
        <v/>
      </c>
      <c r="M156" s="24">
        <f>IF(OR($B156="",L156=""),"",K156-L156)</f>
        <v/>
      </c>
      <c r="N156" s="25">
        <f>IF(OR($B156="",L156="",L156=0),"",K156/L156)</f>
        <v/>
      </c>
      <c r="O156" s="24">
        <f>IF($B156="","",IF(L156="","אין מצאי",IF(K156&lt;L156,"חוסר",IF(K156&gt;L156,"עודף","תקין"))))</f>
        <v/>
      </c>
      <c r="Q156">
        <f>IF(O156="חוסר",M156-ROW()/100000,IF(O156="עודף",M156+ROW()/100000,""))</f>
        <v/>
      </c>
    </row>
    <row r="157">
      <c r="K157" s="24">
        <f>IF($B157="","",SUM(C157:J157))</f>
        <v/>
      </c>
      <c r="M157" s="24">
        <f>IF(OR($B157="",L157=""),"",K157-L157)</f>
        <v/>
      </c>
      <c r="N157" s="25">
        <f>IF(OR($B157="",L157="",L157=0),"",K157/L157)</f>
        <v/>
      </c>
      <c r="O157" s="24">
        <f>IF($B157="","",IF(L157="","אין מצאי",IF(K157&lt;L157,"חוסר",IF(K157&gt;L157,"עודף","תקין"))))</f>
        <v/>
      </c>
      <c r="Q157">
        <f>IF(O157="חוסר",M157-ROW()/100000,IF(O157="עודף",M157+ROW()/100000,""))</f>
        <v/>
      </c>
    </row>
    <row r="158">
      <c r="K158" s="24">
        <f>IF($B158="","",SUM(C158:J158))</f>
        <v/>
      </c>
      <c r="M158" s="24">
        <f>IF(OR($B158="",L158=""),"",K158-L158)</f>
        <v/>
      </c>
      <c r="N158" s="25">
        <f>IF(OR($B158="",L158="",L158=0),"",K158/L158)</f>
        <v/>
      </c>
      <c r="O158" s="24">
        <f>IF($B158="","",IF(L158="","אין מצאי",IF(K158&lt;L158,"חוסר",IF(K158&gt;L158,"עודף","תקין"))))</f>
        <v/>
      </c>
      <c r="Q158">
        <f>IF(O158="חוסר",M158-ROW()/100000,IF(O158="עודף",M158+ROW()/100000,""))</f>
        <v/>
      </c>
    </row>
    <row r="159">
      <c r="K159" s="24">
        <f>IF($B159="","",SUM(C159:J159))</f>
        <v/>
      </c>
      <c r="M159" s="24">
        <f>IF(OR($B159="",L159=""),"",K159-L159)</f>
        <v/>
      </c>
      <c r="N159" s="25">
        <f>IF(OR($B159="",L159="",L159=0),"",K159/L159)</f>
        <v/>
      </c>
      <c r="O159" s="24">
        <f>IF($B159="","",IF(L159="","אין מצאי",IF(K159&lt;L159,"חוסר",IF(K159&gt;L159,"עודף","תקין"))))</f>
        <v/>
      </c>
      <c r="Q159">
        <f>IF(O159="חוסר",M159-ROW()/100000,IF(O159="עודף",M159+ROW()/100000,""))</f>
        <v/>
      </c>
    </row>
    <row r="160">
      <c r="K160" s="24">
        <f>IF($B160="","",SUM(C160:J160))</f>
        <v/>
      </c>
      <c r="M160" s="24">
        <f>IF(OR($B160="",L160=""),"",K160-L160)</f>
        <v/>
      </c>
      <c r="N160" s="25">
        <f>IF(OR($B160="",L160="",L160=0),"",K160/L160)</f>
        <v/>
      </c>
      <c r="O160" s="24">
        <f>IF($B160="","",IF(L160="","אין מצאי",IF(K160&lt;L160,"חוסר",IF(K160&gt;L160,"עודף","תקין"))))</f>
        <v/>
      </c>
      <c r="Q160">
        <f>IF(O160="חוסר",M160-ROW()/100000,IF(O160="עודף",M160+ROW()/100000,""))</f>
        <v/>
      </c>
    </row>
    <row r="161">
      <c r="K161" s="24">
        <f>IF($B161="","",SUM(C161:J161))</f>
        <v/>
      </c>
      <c r="M161" s="24">
        <f>IF(OR($B161="",L161=""),"",K161-L161)</f>
        <v/>
      </c>
      <c r="N161" s="25">
        <f>IF(OR($B161="",L161="",L161=0),"",K161/L161)</f>
        <v/>
      </c>
      <c r="O161" s="24">
        <f>IF($B161="","",IF(L161="","אין מצאי",IF(K161&lt;L161,"חוסר",IF(K161&gt;L161,"עודף","תקין"))))</f>
        <v/>
      </c>
      <c r="Q161">
        <f>IF(O161="חוסר",M161-ROW()/100000,IF(O161="עודף",M161+ROW()/100000,""))</f>
        <v/>
      </c>
    </row>
    <row r="162">
      <c r="K162" s="24">
        <f>IF($B162="","",SUM(C162:J162))</f>
        <v/>
      </c>
      <c r="M162" s="24">
        <f>IF(OR($B162="",L162=""),"",K162-L162)</f>
        <v/>
      </c>
      <c r="N162" s="25">
        <f>IF(OR($B162="",L162="",L162=0),"",K162/L162)</f>
        <v/>
      </c>
      <c r="O162" s="24">
        <f>IF($B162="","",IF(L162="","אין מצאי",IF(K162&lt;L162,"חוסר",IF(K162&gt;L162,"עודף","תקין"))))</f>
        <v/>
      </c>
      <c r="Q162">
        <f>IF(O162="חוסר",M162-ROW()/100000,IF(O162="עודף",M162+ROW()/100000,""))</f>
        <v/>
      </c>
    </row>
    <row r="163">
      <c r="K163" s="24">
        <f>IF($B163="","",SUM(C163:J163))</f>
        <v/>
      </c>
      <c r="M163" s="24">
        <f>IF(OR($B163="",L163=""),"",K163-L163)</f>
        <v/>
      </c>
      <c r="N163" s="25">
        <f>IF(OR($B163="",L163="",L163=0),"",K163/L163)</f>
        <v/>
      </c>
      <c r="O163" s="24">
        <f>IF($B163="","",IF(L163="","אין מצאי",IF(K163&lt;L163,"חוסר",IF(K163&gt;L163,"עודף","תקין"))))</f>
        <v/>
      </c>
      <c r="Q163">
        <f>IF(O163="חוסר",M163-ROW()/100000,IF(O163="עודף",M163+ROW()/100000,""))</f>
        <v/>
      </c>
    </row>
    <row r="164">
      <c r="K164" s="24">
        <f>IF($B164="","",SUM(C164:J164))</f>
        <v/>
      </c>
      <c r="M164" s="24">
        <f>IF(OR($B164="",L164=""),"",K164-L164)</f>
        <v/>
      </c>
      <c r="N164" s="25">
        <f>IF(OR($B164="",L164="",L164=0),"",K164/L164)</f>
        <v/>
      </c>
      <c r="O164" s="24">
        <f>IF($B164="","",IF(L164="","אין מצאי",IF(K164&lt;L164,"חוסר",IF(K164&gt;L164,"עודף","תקין"))))</f>
        <v/>
      </c>
      <c r="Q164">
        <f>IF(O164="חוסר",M164-ROW()/100000,IF(O164="עודף",M164+ROW()/100000,""))</f>
        <v/>
      </c>
    </row>
    <row r="165">
      <c r="K165" s="24">
        <f>IF($B165="","",SUM(C165:J165))</f>
        <v/>
      </c>
      <c r="M165" s="24">
        <f>IF(OR($B165="",L165=""),"",K165-L165)</f>
        <v/>
      </c>
      <c r="N165" s="25">
        <f>IF(OR($B165="",L165="",L165=0),"",K165/L165)</f>
        <v/>
      </c>
      <c r="O165" s="24">
        <f>IF($B165="","",IF(L165="","אין מצאי",IF(K165&lt;L165,"חוסר",IF(K165&gt;L165,"עודף","תקין"))))</f>
        <v/>
      </c>
      <c r="Q165">
        <f>IF(O165="חוסר",M165-ROW()/100000,IF(O165="עודף",M165+ROW()/100000,""))</f>
        <v/>
      </c>
    </row>
    <row r="166">
      <c r="K166" s="24">
        <f>IF($B166="","",SUM(C166:J166))</f>
        <v/>
      </c>
      <c r="M166" s="24">
        <f>IF(OR($B166="",L166=""),"",K166-L166)</f>
        <v/>
      </c>
      <c r="N166" s="25">
        <f>IF(OR($B166="",L166="",L166=0),"",K166/L166)</f>
        <v/>
      </c>
      <c r="O166" s="24">
        <f>IF($B166="","",IF(L166="","אין מצאי",IF(K166&lt;L166,"חוסר",IF(K166&gt;L166,"עודף","תקין"))))</f>
        <v/>
      </c>
      <c r="Q166">
        <f>IF(O166="חוסר",M166-ROW()/100000,IF(O166="עודף",M166+ROW()/100000,""))</f>
        <v/>
      </c>
    </row>
    <row r="167">
      <c r="K167" s="24">
        <f>IF($B167="","",SUM(C167:J167))</f>
        <v/>
      </c>
      <c r="M167" s="24">
        <f>IF(OR($B167="",L167=""),"",K167-L167)</f>
        <v/>
      </c>
      <c r="N167" s="25">
        <f>IF(OR($B167="",L167="",L167=0),"",K167/L167)</f>
        <v/>
      </c>
      <c r="O167" s="24">
        <f>IF($B167="","",IF(L167="","אין מצאי",IF(K167&lt;L167,"חוסר",IF(K167&gt;L167,"עודף","תקין"))))</f>
        <v/>
      </c>
      <c r="Q167">
        <f>IF(O167="חוסר",M167-ROW()/100000,IF(O167="עודף",M167+ROW()/100000,""))</f>
        <v/>
      </c>
    </row>
    <row r="168">
      <c r="K168" s="24">
        <f>IF($B168="","",SUM(C168:J168))</f>
        <v/>
      </c>
      <c r="M168" s="24">
        <f>IF(OR($B168="",L168=""),"",K168-L168)</f>
        <v/>
      </c>
      <c r="N168" s="25">
        <f>IF(OR($B168="",L168="",L168=0),"",K168/L168)</f>
        <v/>
      </c>
      <c r="O168" s="24">
        <f>IF($B168="","",IF(L168="","אין מצאי",IF(K168&lt;L168,"חוסר",IF(K168&gt;L168,"עודף","תקין"))))</f>
        <v/>
      </c>
      <c r="Q168">
        <f>IF(O168="חוסר",M168-ROW()/100000,IF(O168="עודף",M168+ROW()/100000,""))</f>
        <v/>
      </c>
    </row>
    <row r="169">
      <c r="K169" s="24">
        <f>IF($B169="","",SUM(C169:J169))</f>
        <v/>
      </c>
      <c r="M169" s="24">
        <f>IF(OR($B169="",L169=""),"",K169-L169)</f>
        <v/>
      </c>
      <c r="N169" s="25">
        <f>IF(OR($B169="",L169="",L169=0),"",K169/L169)</f>
        <v/>
      </c>
      <c r="O169" s="24">
        <f>IF($B169="","",IF(L169="","אין מצאי",IF(K169&lt;L169,"חוסר",IF(K169&gt;L169,"עודף","תקין"))))</f>
        <v/>
      </c>
      <c r="Q169">
        <f>IF(O169="חוסר",M169-ROW()/100000,IF(O169="עודף",M169+ROW()/100000,""))</f>
        <v/>
      </c>
    </row>
    <row r="170">
      <c r="K170" s="24">
        <f>IF($B170="","",SUM(C170:J170))</f>
        <v/>
      </c>
      <c r="M170" s="24">
        <f>IF(OR($B170="",L170=""),"",K170-L170)</f>
        <v/>
      </c>
      <c r="N170" s="25">
        <f>IF(OR($B170="",L170="",L170=0),"",K170/L170)</f>
        <v/>
      </c>
      <c r="O170" s="24">
        <f>IF($B170="","",IF(L170="","אין מצאי",IF(K170&lt;L170,"חוסר",IF(K170&gt;L170,"עודף","תקין"))))</f>
        <v/>
      </c>
      <c r="Q170">
        <f>IF(O170="חוסר",M170-ROW()/100000,IF(O170="עודף",M170+ROW()/100000,""))</f>
        <v/>
      </c>
    </row>
    <row r="171">
      <c r="K171" s="24">
        <f>IF($B171="","",SUM(C171:J171))</f>
        <v/>
      </c>
      <c r="M171" s="24">
        <f>IF(OR($B171="",L171=""),"",K171-L171)</f>
        <v/>
      </c>
      <c r="N171" s="25">
        <f>IF(OR($B171="",L171="",L171=0),"",K171/L171)</f>
        <v/>
      </c>
      <c r="O171" s="24">
        <f>IF($B171="","",IF(L171="","אין מצאי",IF(K171&lt;L171,"חוסר",IF(K171&gt;L171,"עודף","תקין"))))</f>
        <v/>
      </c>
      <c r="Q171">
        <f>IF(O171="חוסר",M171-ROW()/100000,IF(O171="עודף",M171+ROW()/100000,""))</f>
        <v/>
      </c>
    </row>
    <row r="172">
      <c r="K172" s="24">
        <f>IF($B172="","",SUM(C172:J172))</f>
        <v/>
      </c>
      <c r="M172" s="24">
        <f>IF(OR($B172="",L172=""),"",K172-L172)</f>
        <v/>
      </c>
      <c r="N172" s="25">
        <f>IF(OR($B172="",L172="",L172=0),"",K172/L172)</f>
        <v/>
      </c>
      <c r="O172" s="24">
        <f>IF($B172="","",IF(L172="","אין מצאי",IF(K172&lt;L172,"חוסר",IF(K172&gt;L172,"עודף","תקין"))))</f>
        <v/>
      </c>
      <c r="Q172">
        <f>IF(O172="חוסר",M172-ROW()/100000,IF(O172="עודף",M172+ROW()/100000,""))</f>
        <v/>
      </c>
    </row>
    <row r="173">
      <c r="K173" s="24">
        <f>IF($B173="","",SUM(C173:J173))</f>
        <v/>
      </c>
      <c r="M173" s="24">
        <f>IF(OR($B173="",L173=""),"",K173-L173)</f>
        <v/>
      </c>
      <c r="N173" s="25">
        <f>IF(OR($B173="",L173="",L173=0),"",K173/L173)</f>
        <v/>
      </c>
      <c r="O173" s="24">
        <f>IF($B173="","",IF(L173="","אין מצאי",IF(K173&lt;L173,"חוסר",IF(K173&gt;L173,"עודף","תקין"))))</f>
        <v/>
      </c>
      <c r="Q173">
        <f>IF(O173="חוסר",M173-ROW()/100000,IF(O173="עודף",M173+ROW()/100000,""))</f>
        <v/>
      </c>
    </row>
    <row r="174">
      <c r="K174" s="24">
        <f>IF($B174="","",SUM(C174:J174))</f>
        <v/>
      </c>
      <c r="M174" s="24">
        <f>IF(OR($B174="",L174=""),"",K174-L174)</f>
        <v/>
      </c>
      <c r="N174" s="25">
        <f>IF(OR($B174="",L174="",L174=0),"",K174/L174)</f>
        <v/>
      </c>
      <c r="O174" s="24">
        <f>IF($B174="","",IF(L174="","אין מצאי",IF(K174&lt;L174,"חוסר",IF(K174&gt;L174,"עודף","תקין"))))</f>
        <v/>
      </c>
      <c r="Q174">
        <f>IF(O174="חוסר",M174-ROW()/100000,IF(O174="עודף",M174+ROW()/100000,""))</f>
        <v/>
      </c>
    </row>
    <row r="175">
      <c r="K175" s="24">
        <f>IF($B175="","",SUM(C175:J175))</f>
        <v/>
      </c>
      <c r="M175" s="24">
        <f>IF(OR($B175="",L175=""),"",K175-L175)</f>
        <v/>
      </c>
      <c r="N175" s="25">
        <f>IF(OR($B175="",L175="",L175=0),"",K175/L175)</f>
        <v/>
      </c>
      <c r="O175" s="24">
        <f>IF($B175="","",IF(L175="","אין מצאי",IF(K175&lt;L175,"חוסר",IF(K175&gt;L175,"עודף","תקין"))))</f>
        <v/>
      </c>
      <c r="Q175">
        <f>IF(O175="חוסר",M175-ROW()/100000,IF(O175="עודף",M175+ROW()/100000,""))</f>
        <v/>
      </c>
    </row>
    <row r="176">
      <c r="K176" s="24">
        <f>IF($B176="","",SUM(C176:J176))</f>
        <v/>
      </c>
      <c r="M176" s="24">
        <f>IF(OR($B176="",L176=""),"",K176-L176)</f>
        <v/>
      </c>
      <c r="N176" s="25">
        <f>IF(OR($B176="",L176="",L176=0),"",K176/L176)</f>
        <v/>
      </c>
      <c r="O176" s="24">
        <f>IF($B176="","",IF(L176="","אין מצאי",IF(K176&lt;L176,"חוסר",IF(K176&gt;L176,"עודף","תקין"))))</f>
        <v/>
      </c>
      <c r="Q176">
        <f>IF(O176="חוסר",M176-ROW()/100000,IF(O176="עודף",M176+ROW()/100000,""))</f>
        <v/>
      </c>
    </row>
    <row r="177">
      <c r="K177" s="24">
        <f>IF($B177="","",SUM(C177:J177))</f>
        <v/>
      </c>
      <c r="M177" s="24">
        <f>IF(OR($B177="",L177=""),"",K177-L177)</f>
        <v/>
      </c>
      <c r="N177" s="25">
        <f>IF(OR($B177="",L177="",L177=0),"",K177/L177)</f>
        <v/>
      </c>
      <c r="O177" s="24">
        <f>IF($B177="","",IF(L177="","אין מצאי",IF(K177&lt;L177,"חוסר",IF(K177&gt;L177,"עודף","תקין"))))</f>
        <v/>
      </c>
      <c r="Q177">
        <f>IF(O177="חוסר",M177-ROW()/100000,IF(O177="עודף",M177+ROW()/100000,""))</f>
        <v/>
      </c>
    </row>
    <row r="178">
      <c r="K178" s="24">
        <f>IF($B178="","",SUM(C178:J178))</f>
        <v/>
      </c>
      <c r="M178" s="24">
        <f>IF(OR($B178="",L178=""),"",K178-L178)</f>
        <v/>
      </c>
      <c r="N178" s="25">
        <f>IF(OR($B178="",L178="",L178=0),"",K178/L178)</f>
        <v/>
      </c>
      <c r="O178" s="24">
        <f>IF($B178="","",IF(L178="","אין מצאי",IF(K178&lt;L178,"חוסר",IF(K178&gt;L178,"עודף","תקין"))))</f>
        <v/>
      </c>
      <c r="Q178">
        <f>IF(O178="חוסר",M178-ROW()/100000,IF(O178="עודף",M178+ROW()/100000,""))</f>
        <v/>
      </c>
    </row>
    <row r="179">
      <c r="K179" s="24">
        <f>IF($B179="","",SUM(C179:J179))</f>
        <v/>
      </c>
      <c r="M179" s="24">
        <f>IF(OR($B179="",L179=""),"",K179-L179)</f>
        <v/>
      </c>
      <c r="N179" s="25">
        <f>IF(OR($B179="",L179="",L179=0),"",K179/L179)</f>
        <v/>
      </c>
      <c r="O179" s="24">
        <f>IF($B179="","",IF(L179="","אין מצאי",IF(K179&lt;L179,"חוסר",IF(K179&gt;L179,"עודף","תקין"))))</f>
        <v/>
      </c>
      <c r="Q179">
        <f>IF(O179="חוסר",M179-ROW()/100000,IF(O179="עודף",M179+ROW()/100000,""))</f>
        <v/>
      </c>
    </row>
    <row r="180">
      <c r="K180" s="24">
        <f>IF($B180="","",SUM(C180:J180))</f>
        <v/>
      </c>
      <c r="M180" s="24">
        <f>IF(OR($B180="",L180=""),"",K180-L180)</f>
        <v/>
      </c>
      <c r="N180" s="25">
        <f>IF(OR($B180="",L180="",L180=0),"",K180/L180)</f>
        <v/>
      </c>
      <c r="O180" s="24">
        <f>IF($B180="","",IF(L180="","אין מצאי",IF(K180&lt;L180,"חוסר",IF(K180&gt;L180,"עודף","תקין"))))</f>
        <v/>
      </c>
      <c r="Q180">
        <f>IF(O180="חוסר",M180-ROW()/100000,IF(O180="עודף",M180+ROW()/100000,""))</f>
        <v/>
      </c>
    </row>
    <row r="181">
      <c r="K181" s="24">
        <f>IF($B181="","",SUM(C181:J181))</f>
        <v/>
      </c>
      <c r="M181" s="24">
        <f>IF(OR($B181="",L181=""),"",K181-L181)</f>
        <v/>
      </c>
      <c r="N181" s="25">
        <f>IF(OR($B181="",L181="",L181=0),"",K181/L181)</f>
        <v/>
      </c>
      <c r="O181" s="24">
        <f>IF($B181="","",IF(L181="","אין מצאי",IF(K181&lt;L181,"חוסר",IF(K181&gt;L181,"עודף","תקין"))))</f>
        <v/>
      </c>
      <c r="Q181">
        <f>IF(O181="חוסר",M181-ROW()/100000,IF(O181="עודף",M181+ROW()/100000,""))</f>
        <v/>
      </c>
    </row>
    <row r="182">
      <c r="K182" s="24">
        <f>IF($B182="","",SUM(C182:J182))</f>
        <v/>
      </c>
      <c r="M182" s="24">
        <f>IF(OR($B182="",L182=""),"",K182-L182)</f>
        <v/>
      </c>
      <c r="N182" s="25">
        <f>IF(OR($B182="",L182="",L182=0),"",K182/L182)</f>
        <v/>
      </c>
      <c r="O182" s="24">
        <f>IF($B182="","",IF(L182="","אין מצאי",IF(K182&lt;L182,"חוסר",IF(K182&gt;L182,"עודף","תקין"))))</f>
        <v/>
      </c>
      <c r="Q182">
        <f>IF(O182="חוסר",M182-ROW()/100000,IF(O182="עודף",M182+ROW()/100000,""))</f>
        <v/>
      </c>
    </row>
    <row r="183">
      <c r="K183" s="24">
        <f>IF($B183="","",SUM(C183:J183))</f>
        <v/>
      </c>
      <c r="M183" s="24">
        <f>IF(OR($B183="",L183=""),"",K183-L183)</f>
        <v/>
      </c>
      <c r="N183" s="25">
        <f>IF(OR($B183="",L183="",L183=0),"",K183/L183)</f>
        <v/>
      </c>
      <c r="O183" s="24">
        <f>IF($B183="","",IF(L183="","אין מצאי",IF(K183&lt;L183,"חוסר",IF(K183&gt;L183,"עודף","תקין"))))</f>
        <v/>
      </c>
      <c r="Q183">
        <f>IF(O183="חוסר",M183-ROW()/100000,IF(O183="עודף",M183+ROW()/100000,""))</f>
        <v/>
      </c>
    </row>
    <row r="184">
      <c r="K184" s="24">
        <f>IF($B184="","",SUM(C184:J184))</f>
        <v/>
      </c>
      <c r="M184" s="24">
        <f>IF(OR($B184="",L184=""),"",K184-L184)</f>
        <v/>
      </c>
      <c r="N184" s="25">
        <f>IF(OR($B184="",L184="",L184=0),"",K184/L184)</f>
        <v/>
      </c>
      <c r="O184" s="24">
        <f>IF($B184="","",IF(L184="","אין מצאי",IF(K184&lt;L184,"חוסר",IF(K184&gt;L184,"עודף","תקין"))))</f>
        <v/>
      </c>
      <c r="Q184">
        <f>IF(O184="חוסר",M184-ROW()/100000,IF(O184="עודף",M184+ROW()/100000,""))</f>
        <v/>
      </c>
    </row>
    <row r="185">
      <c r="K185" s="24">
        <f>IF($B185="","",SUM(C185:J185))</f>
        <v/>
      </c>
      <c r="M185" s="24">
        <f>IF(OR($B185="",L185=""),"",K185-L185)</f>
        <v/>
      </c>
      <c r="N185" s="25">
        <f>IF(OR($B185="",L185="",L185=0),"",K185/L185)</f>
        <v/>
      </c>
      <c r="O185" s="24">
        <f>IF($B185="","",IF(L185="","אין מצאי",IF(K185&lt;L185,"חוסר",IF(K185&gt;L185,"עודף","תקין"))))</f>
        <v/>
      </c>
      <c r="Q185">
        <f>IF(O185="חוסר",M185-ROW()/100000,IF(O185="עודף",M185+ROW()/100000,""))</f>
        <v/>
      </c>
    </row>
    <row r="186">
      <c r="K186" s="24">
        <f>IF($B186="","",SUM(C186:J186))</f>
        <v/>
      </c>
      <c r="M186" s="24">
        <f>IF(OR($B186="",L186=""),"",K186-L186)</f>
        <v/>
      </c>
      <c r="N186" s="25">
        <f>IF(OR($B186="",L186="",L186=0),"",K186/L186)</f>
        <v/>
      </c>
      <c r="O186" s="24">
        <f>IF($B186="","",IF(L186="","אין מצאי",IF(K186&lt;L186,"חוסר",IF(K186&gt;L186,"עודף","תקין"))))</f>
        <v/>
      </c>
      <c r="Q186">
        <f>IF(O186="חוסר",M186-ROW()/100000,IF(O186="עודף",M186+ROW()/100000,""))</f>
        <v/>
      </c>
    </row>
    <row r="187">
      <c r="K187" s="24">
        <f>IF($B187="","",SUM(C187:J187))</f>
        <v/>
      </c>
      <c r="M187" s="24">
        <f>IF(OR($B187="",L187=""),"",K187-L187)</f>
        <v/>
      </c>
      <c r="N187" s="25">
        <f>IF(OR($B187="",L187="",L187=0),"",K187/L187)</f>
        <v/>
      </c>
      <c r="O187" s="24">
        <f>IF($B187="","",IF(L187="","אין מצאי",IF(K187&lt;L187,"חוסר",IF(K187&gt;L187,"עודף","תקין"))))</f>
        <v/>
      </c>
      <c r="Q187">
        <f>IF(O187="חוסר",M187-ROW()/100000,IF(O187="עודף",M187+ROW()/100000,""))</f>
        <v/>
      </c>
    </row>
    <row r="188">
      <c r="K188" s="24">
        <f>IF($B188="","",SUM(C188:J188))</f>
        <v/>
      </c>
      <c r="M188" s="24">
        <f>IF(OR($B188="",L188=""),"",K188-L188)</f>
        <v/>
      </c>
      <c r="N188" s="25">
        <f>IF(OR($B188="",L188="",L188=0),"",K188/L188)</f>
        <v/>
      </c>
      <c r="O188" s="24">
        <f>IF($B188="","",IF(L188="","אין מצאי",IF(K188&lt;L188,"חוסר",IF(K188&gt;L188,"עודף","תקין"))))</f>
        <v/>
      </c>
      <c r="Q188">
        <f>IF(O188="חוסר",M188-ROW()/100000,IF(O188="עודף",M188+ROW()/100000,""))</f>
        <v/>
      </c>
    </row>
    <row r="189">
      <c r="K189" s="24">
        <f>IF($B189="","",SUM(C189:J189))</f>
        <v/>
      </c>
      <c r="M189" s="24">
        <f>IF(OR($B189="",L189=""),"",K189-L189)</f>
        <v/>
      </c>
      <c r="N189" s="25">
        <f>IF(OR($B189="",L189="",L189=0),"",K189/L189)</f>
        <v/>
      </c>
      <c r="O189" s="24">
        <f>IF($B189="","",IF(L189="","אין מצאי",IF(K189&lt;L189,"חוסר",IF(K189&gt;L189,"עודף","תקין"))))</f>
        <v/>
      </c>
      <c r="Q189">
        <f>IF(O189="חוסר",M189-ROW()/100000,IF(O189="עודף",M189+ROW()/100000,""))</f>
        <v/>
      </c>
    </row>
    <row r="190">
      <c r="K190" s="24">
        <f>IF($B190="","",SUM(C190:J190))</f>
        <v/>
      </c>
      <c r="M190" s="24">
        <f>IF(OR($B190="",L190=""),"",K190-L190)</f>
        <v/>
      </c>
      <c r="N190" s="25">
        <f>IF(OR($B190="",L190="",L190=0),"",K190/L190)</f>
        <v/>
      </c>
      <c r="O190" s="24">
        <f>IF($B190="","",IF(L190="","אין מצאי",IF(K190&lt;L190,"חוסר",IF(K190&gt;L190,"עודף","תקין"))))</f>
        <v/>
      </c>
      <c r="Q190">
        <f>IF(O190="חוסר",M190-ROW()/100000,IF(O190="עודף",M190+ROW()/100000,""))</f>
        <v/>
      </c>
    </row>
    <row r="191">
      <c r="K191" s="24">
        <f>IF($B191="","",SUM(C191:J191))</f>
        <v/>
      </c>
      <c r="M191" s="24">
        <f>IF(OR($B191="",L191=""),"",K191-L191)</f>
        <v/>
      </c>
      <c r="N191" s="25">
        <f>IF(OR($B191="",L191="",L191=0),"",K191/L191)</f>
        <v/>
      </c>
      <c r="O191" s="24">
        <f>IF($B191="","",IF(L191="","אין מצאי",IF(K191&lt;L191,"חוסר",IF(K191&gt;L191,"עודף","תקין"))))</f>
        <v/>
      </c>
      <c r="Q191">
        <f>IF(O191="חוסר",M191-ROW()/100000,IF(O191="עודף",M191+ROW()/100000,""))</f>
        <v/>
      </c>
    </row>
    <row r="192">
      <c r="K192" s="24">
        <f>IF($B192="","",SUM(C192:J192))</f>
        <v/>
      </c>
      <c r="M192" s="24">
        <f>IF(OR($B192="",L192=""),"",K192-L192)</f>
        <v/>
      </c>
      <c r="N192" s="25">
        <f>IF(OR($B192="",L192="",L192=0),"",K192/L192)</f>
        <v/>
      </c>
      <c r="O192" s="24">
        <f>IF($B192="","",IF(L192="","אין מצאי",IF(K192&lt;L192,"חוסר",IF(K192&gt;L192,"עודף","תקין"))))</f>
        <v/>
      </c>
      <c r="Q192">
        <f>IF(O192="חוסר",M192-ROW()/100000,IF(O192="עודף",M192+ROW()/100000,""))</f>
        <v/>
      </c>
    </row>
    <row r="193">
      <c r="K193" s="24">
        <f>IF($B193="","",SUM(C193:J193))</f>
        <v/>
      </c>
      <c r="M193" s="24">
        <f>IF(OR($B193="",L193=""),"",K193-L193)</f>
        <v/>
      </c>
      <c r="N193" s="25">
        <f>IF(OR($B193="",L193="",L193=0),"",K193/L193)</f>
        <v/>
      </c>
      <c r="O193" s="24">
        <f>IF($B193="","",IF(L193="","אין מצאי",IF(K193&lt;L193,"חוסר",IF(K193&gt;L193,"עודף","תקין"))))</f>
        <v/>
      </c>
      <c r="Q193">
        <f>IF(O193="חוסר",M193-ROW()/100000,IF(O193="עודף",M193+ROW()/100000,""))</f>
        <v/>
      </c>
    </row>
    <row r="194">
      <c r="K194" s="24">
        <f>IF($B194="","",SUM(C194:J194))</f>
        <v/>
      </c>
      <c r="M194" s="24">
        <f>IF(OR($B194="",L194=""),"",K194-L194)</f>
        <v/>
      </c>
      <c r="N194" s="25">
        <f>IF(OR($B194="",L194="",L194=0),"",K194/L194)</f>
        <v/>
      </c>
      <c r="O194" s="24">
        <f>IF($B194="","",IF(L194="","אין מצאי",IF(K194&lt;L194,"חוסר",IF(K194&gt;L194,"עודף","תקין"))))</f>
        <v/>
      </c>
      <c r="Q194">
        <f>IF(O194="חוסר",M194-ROW()/100000,IF(O194="עודף",M194+ROW()/100000,""))</f>
        <v/>
      </c>
    </row>
    <row r="195">
      <c r="K195" s="24">
        <f>IF($B195="","",SUM(C195:J195))</f>
        <v/>
      </c>
      <c r="M195" s="24">
        <f>IF(OR($B195="",L195=""),"",K195-L195)</f>
        <v/>
      </c>
      <c r="N195" s="25">
        <f>IF(OR($B195="",L195="",L195=0),"",K195/L195)</f>
        <v/>
      </c>
      <c r="O195" s="24">
        <f>IF($B195="","",IF(L195="","אין מצאי",IF(K195&lt;L195,"חוסר",IF(K195&gt;L195,"עודף","תקין"))))</f>
        <v/>
      </c>
      <c r="Q195">
        <f>IF(O195="חוסר",M195-ROW()/100000,IF(O195="עודף",M195+ROW()/100000,""))</f>
        <v/>
      </c>
    </row>
    <row r="196">
      <c r="K196" s="24">
        <f>IF($B196="","",SUM(C196:J196))</f>
        <v/>
      </c>
      <c r="M196" s="24">
        <f>IF(OR($B196="",L196=""),"",K196-L196)</f>
        <v/>
      </c>
      <c r="N196" s="25">
        <f>IF(OR($B196="",L196="",L196=0),"",K196/L196)</f>
        <v/>
      </c>
      <c r="O196" s="24">
        <f>IF($B196="","",IF(L196="","אין מצאי",IF(K196&lt;L196,"חוסר",IF(K196&gt;L196,"עודף","תקין"))))</f>
        <v/>
      </c>
      <c r="Q196">
        <f>IF(O196="חוסר",M196-ROW()/100000,IF(O196="עודף",M196+ROW()/100000,""))</f>
        <v/>
      </c>
    </row>
    <row r="197">
      <c r="K197" s="24">
        <f>IF($B197="","",SUM(C197:J197))</f>
        <v/>
      </c>
      <c r="M197" s="24">
        <f>IF(OR($B197="",L197=""),"",K197-L197)</f>
        <v/>
      </c>
      <c r="N197" s="25">
        <f>IF(OR($B197="",L197="",L197=0),"",K197/L197)</f>
        <v/>
      </c>
      <c r="O197" s="24">
        <f>IF($B197="","",IF(L197="","אין מצאי",IF(K197&lt;L197,"חוסר",IF(K197&gt;L197,"עודף","תקין"))))</f>
        <v/>
      </c>
      <c r="Q197">
        <f>IF(O197="חוסר",M197-ROW()/100000,IF(O197="עודף",M197+ROW()/100000,""))</f>
        <v/>
      </c>
    </row>
    <row r="198">
      <c r="K198" s="24">
        <f>IF($B198="","",SUM(C198:J198))</f>
        <v/>
      </c>
      <c r="M198" s="24">
        <f>IF(OR($B198="",L198=""),"",K198-L198)</f>
        <v/>
      </c>
      <c r="N198" s="25">
        <f>IF(OR($B198="",L198="",L198=0),"",K198/L198)</f>
        <v/>
      </c>
      <c r="O198" s="24">
        <f>IF($B198="","",IF(L198="","אין מצאי",IF(K198&lt;L198,"חוסר",IF(K198&gt;L198,"עודף","תקין"))))</f>
        <v/>
      </c>
      <c r="Q198">
        <f>IF(O198="חוסר",M198-ROW()/100000,IF(O198="עודף",M198+ROW()/100000,""))</f>
        <v/>
      </c>
    </row>
    <row r="199">
      <c r="K199" s="24">
        <f>IF($B199="","",SUM(C199:J199))</f>
        <v/>
      </c>
      <c r="M199" s="24">
        <f>IF(OR($B199="",L199=""),"",K199-L199)</f>
        <v/>
      </c>
      <c r="N199" s="25">
        <f>IF(OR($B199="",L199="",L199=0),"",K199/L199)</f>
        <v/>
      </c>
      <c r="O199" s="24">
        <f>IF($B199="","",IF(L199="","אין מצאי",IF(K199&lt;L199,"חוסר",IF(K199&gt;L199,"עודף","תקין"))))</f>
        <v/>
      </c>
      <c r="Q199">
        <f>IF(O199="חוסר",M199-ROW()/100000,IF(O199="עודף",M199+ROW()/100000,""))</f>
        <v/>
      </c>
    </row>
    <row r="200">
      <c r="K200" s="24">
        <f>IF($B200="","",SUM(C200:J200))</f>
        <v/>
      </c>
      <c r="M200" s="24">
        <f>IF(OR($B200="",L200=""),"",K200-L200)</f>
        <v/>
      </c>
      <c r="N200" s="25">
        <f>IF(OR($B200="",L200="",L200=0),"",K200/L200)</f>
        <v/>
      </c>
      <c r="O200" s="24">
        <f>IF($B200="","",IF(L200="","אין מצאי",IF(K200&lt;L200,"חוסר",IF(K200&gt;L200,"עודף","תקין"))))</f>
        <v/>
      </c>
      <c r="Q200">
        <f>IF(O200="חוסר",M200-ROW()/100000,IF(O200="עודף",M200+ROW()/100000,""))</f>
        <v/>
      </c>
    </row>
    <row r="201">
      <c r="K201" s="24">
        <f>IF($B201="","",SUM(C201:J201))</f>
        <v/>
      </c>
      <c r="M201" s="24">
        <f>IF(OR($B201="",L201=""),"",K201-L201)</f>
        <v/>
      </c>
      <c r="N201" s="25">
        <f>IF(OR($B201="",L201="",L201=0),"",K201/L201)</f>
        <v/>
      </c>
      <c r="O201" s="24">
        <f>IF($B201="","",IF(L201="","אין מצאי",IF(K201&lt;L201,"חוסר",IF(K201&gt;L201,"עודף","תקין"))))</f>
        <v/>
      </c>
      <c r="Q201">
        <f>IF(O201="חוסר",M201-ROW()/100000,IF(O201="עודף",M201+ROW()/100000,""))</f>
        <v/>
      </c>
    </row>
    <row r="202">
      <c r="K202" s="24">
        <f>IF($B202="","",SUM(C202:J202))</f>
        <v/>
      </c>
      <c r="M202" s="24">
        <f>IF(OR($B202="",L202=""),"",K202-L202)</f>
        <v/>
      </c>
      <c r="N202" s="25">
        <f>IF(OR($B202="",L202="",L202=0),"",K202/L202)</f>
        <v/>
      </c>
      <c r="O202" s="24">
        <f>IF($B202="","",IF(L202="","אין מצאי",IF(K202&lt;L202,"חוסר",IF(K202&gt;L202,"עודף","תקין"))))</f>
        <v/>
      </c>
      <c r="Q202">
        <f>IF(O202="חוסר",M202-ROW()/100000,IF(O202="עודף",M202+ROW()/100000,""))</f>
        <v/>
      </c>
    </row>
    <row r="203">
      <c r="K203" s="24">
        <f>IF($B203="","",SUM(C203:J203))</f>
        <v/>
      </c>
      <c r="M203" s="24">
        <f>IF(OR($B203="",L203=""),"",K203-L203)</f>
        <v/>
      </c>
      <c r="N203" s="25">
        <f>IF(OR($B203="",L203="",L203=0),"",K203/L203)</f>
        <v/>
      </c>
      <c r="O203" s="24">
        <f>IF($B203="","",IF(L203="","אין מצאי",IF(K203&lt;L203,"חוסר",IF(K203&gt;L203,"עודף","תקין"))))</f>
        <v/>
      </c>
      <c r="Q203">
        <f>IF(O203="חוסר",M203-ROW()/100000,IF(O203="עודף",M203+ROW()/100000,""))</f>
        <v/>
      </c>
    </row>
    <row r="204">
      <c r="K204" s="24">
        <f>IF($B204="","",SUM(C204:J204))</f>
        <v/>
      </c>
      <c r="M204" s="24">
        <f>IF(OR($B204="",L204=""),"",K204-L204)</f>
        <v/>
      </c>
      <c r="N204" s="25">
        <f>IF(OR($B204="",L204="",L204=0),"",K204/L204)</f>
        <v/>
      </c>
      <c r="O204" s="24">
        <f>IF($B204="","",IF(L204="","אין מצאי",IF(K204&lt;L204,"חוסר",IF(K204&gt;L204,"עודף","תקין"))))</f>
        <v/>
      </c>
      <c r="Q204">
        <f>IF(O204="חוסר",M204-ROW()/100000,IF(O204="עודף",M204+ROW()/100000,""))</f>
        <v/>
      </c>
    </row>
    <row r="205">
      <c r="K205" s="24">
        <f>IF($B205="","",SUM(C205:J205))</f>
        <v/>
      </c>
      <c r="M205" s="24">
        <f>IF(OR($B205="",L205=""),"",K205-L205)</f>
        <v/>
      </c>
      <c r="N205" s="25">
        <f>IF(OR($B205="",L205="",L205=0),"",K205/L205)</f>
        <v/>
      </c>
      <c r="O205" s="24">
        <f>IF($B205="","",IF(L205="","אין מצאי",IF(K205&lt;L205,"חוסר",IF(K205&gt;L205,"עודף","תקין"))))</f>
        <v/>
      </c>
      <c r="Q205">
        <f>IF(O205="חוסר",M205-ROW()/100000,IF(O205="עודף",M205+ROW()/100000,""))</f>
        <v/>
      </c>
    </row>
    <row r="206">
      <c r="K206" s="24">
        <f>IF($B206="","",SUM(C206:J206))</f>
        <v/>
      </c>
      <c r="M206" s="24">
        <f>IF(OR($B206="",L206=""),"",K206-L206)</f>
        <v/>
      </c>
      <c r="N206" s="25">
        <f>IF(OR($B206="",L206="",L206=0),"",K206/L206)</f>
        <v/>
      </c>
      <c r="O206" s="24">
        <f>IF($B206="","",IF(L206="","אין מצאי",IF(K206&lt;L206,"חוסר",IF(K206&gt;L206,"עודף","תקין"))))</f>
        <v/>
      </c>
      <c r="Q206">
        <f>IF(O206="חוסר",M206-ROW()/100000,IF(O206="עודף",M206+ROW()/100000,""))</f>
        <v/>
      </c>
    </row>
    <row r="207">
      <c r="K207" s="24">
        <f>IF($B207="","",SUM(C207:J207))</f>
        <v/>
      </c>
      <c r="M207" s="24">
        <f>IF(OR($B207="",L207=""),"",K207-L207)</f>
        <v/>
      </c>
      <c r="N207" s="25">
        <f>IF(OR($B207="",L207="",L207=0),"",K207/L207)</f>
        <v/>
      </c>
      <c r="O207" s="24">
        <f>IF($B207="","",IF(L207="","אין מצאי",IF(K207&lt;L207,"חוסר",IF(K207&gt;L207,"עודף","תקין"))))</f>
        <v/>
      </c>
      <c r="Q207">
        <f>IF(O207="חוסר",M207-ROW()/100000,IF(O207="עודף",M207+ROW()/100000,""))</f>
        <v/>
      </c>
    </row>
    <row r="208">
      <c r="K208" s="24">
        <f>IF($B208="","",SUM(C208:J208))</f>
        <v/>
      </c>
      <c r="M208" s="24">
        <f>IF(OR($B208="",L208=""),"",K208-L208)</f>
        <v/>
      </c>
      <c r="N208" s="25">
        <f>IF(OR($B208="",L208="",L208=0),"",K208/L208)</f>
        <v/>
      </c>
      <c r="O208" s="24">
        <f>IF($B208="","",IF(L208="","אין מצאי",IF(K208&lt;L208,"חוסר",IF(K208&gt;L208,"עודף","תקין"))))</f>
        <v/>
      </c>
      <c r="Q208">
        <f>IF(O208="חוסר",M208-ROW()/100000,IF(O208="עודף",M208+ROW()/100000,""))</f>
        <v/>
      </c>
    </row>
    <row r="209">
      <c r="K209" s="24">
        <f>IF($B209="","",SUM(C209:J209))</f>
        <v/>
      </c>
      <c r="M209" s="24">
        <f>IF(OR($B209="",L209=""),"",K209-L209)</f>
        <v/>
      </c>
      <c r="N209" s="25">
        <f>IF(OR($B209="",L209="",L209=0),"",K209/L209)</f>
        <v/>
      </c>
      <c r="O209" s="24">
        <f>IF($B209="","",IF(L209="","אין מצאי",IF(K209&lt;L209,"חוסר",IF(K209&gt;L209,"עודף","תקין"))))</f>
        <v/>
      </c>
      <c r="Q209">
        <f>IF(O209="חוסר",M209-ROW()/100000,IF(O209="עודף",M209+ROW()/100000,""))</f>
        <v/>
      </c>
    </row>
    <row r="210">
      <c r="K210" s="24">
        <f>IF($B210="","",SUM(C210:J210))</f>
        <v/>
      </c>
      <c r="M210" s="24">
        <f>IF(OR($B210="",L210=""),"",K210-L210)</f>
        <v/>
      </c>
      <c r="N210" s="25">
        <f>IF(OR($B210="",L210="",L210=0),"",K210/L210)</f>
        <v/>
      </c>
      <c r="O210" s="24">
        <f>IF($B210="","",IF(L210="","אין מצאי",IF(K210&lt;L210,"חוסר",IF(K210&gt;L210,"עודף","תקין"))))</f>
        <v/>
      </c>
      <c r="Q210">
        <f>IF(O210="חוסר",M210-ROW()/100000,IF(O210="עודף",M210+ROW()/100000,""))</f>
        <v/>
      </c>
    </row>
    <row r="211">
      <c r="K211" s="24">
        <f>IF($B211="","",SUM(C211:J211))</f>
        <v/>
      </c>
      <c r="M211" s="24">
        <f>IF(OR($B211="",L211=""),"",K211-L211)</f>
        <v/>
      </c>
      <c r="N211" s="25">
        <f>IF(OR($B211="",L211="",L211=0),"",K211/L211)</f>
        <v/>
      </c>
      <c r="O211" s="24">
        <f>IF($B211="","",IF(L211="","אין מצאי",IF(K211&lt;L211,"חוסר",IF(K211&gt;L211,"עודף","תקין"))))</f>
        <v/>
      </c>
      <c r="Q211">
        <f>IF(O211="חוסר",M211-ROW()/100000,IF(O211="עודף",M211+ROW()/100000,""))</f>
        <v/>
      </c>
    </row>
    <row r="212">
      <c r="K212" s="24">
        <f>IF($B212="","",SUM(C212:J212))</f>
        <v/>
      </c>
      <c r="M212" s="24">
        <f>IF(OR($B212="",L212=""),"",K212-L212)</f>
        <v/>
      </c>
      <c r="N212" s="25">
        <f>IF(OR($B212="",L212="",L212=0),"",K212/L212)</f>
        <v/>
      </c>
      <c r="O212" s="24">
        <f>IF($B212="","",IF(L212="","אין מצאי",IF(K212&lt;L212,"חוסר",IF(K212&gt;L212,"עודף","תקין"))))</f>
        <v/>
      </c>
      <c r="Q212">
        <f>IF(O212="חוסר",M212-ROW()/100000,IF(O212="עודף",M212+ROW()/100000,""))</f>
        <v/>
      </c>
    </row>
    <row r="213">
      <c r="K213" s="24">
        <f>IF($B213="","",SUM(C213:J213))</f>
        <v/>
      </c>
      <c r="M213" s="24">
        <f>IF(OR($B213="",L213=""),"",K213-L213)</f>
        <v/>
      </c>
      <c r="N213" s="25">
        <f>IF(OR($B213="",L213="",L213=0),"",K213/L213)</f>
        <v/>
      </c>
      <c r="O213" s="24">
        <f>IF($B213="","",IF(L213="","אין מצאי",IF(K213&lt;L213,"חוסר",IF(K213&gt;L213,"עודף","תקין"))))</f>
        <v/>
      </c>
      <c r="Q213">
        <f>IF(O213="חוסר",M213-ROW()/100000,IF(O213="עודף",M213+ROW()/100000,""))</f>
        <v/>
      </c>
    </row>
    <row r="214">
      <c r="K214" s="24">
        <f>IF($B214="","",SUM(C214:J214))</f>
        <v/>
      </c>
      <c r="M214" s="24">
        <f>IF(OR($B214="",L214=""),"",K214-L214)</f>
        <v/>
      </c>
      <c r="N214" s="25">
        <f>IF(OR($B214="",L214="",L214=0),"",K214/L214)</f>
        <v/>
      </c>
      <c r="O214" s="24">
        <f>IF($B214="","",IF(L214="","אין מצאי",IF(K214&lt;L214,"חוסר",IF(K214&gt;L214,"עודף","תקין"))))</f>
        <v/>
      </c>
      <c r="Q214">
        <f>IF(O214="חוסר",M214-ROW()/100000,IF(O214="עודף",M214+ROW()/100000,""))</f>
        <v/>
      </c>
    </row>
    <row r="215">
      <c r="K215" s="24">
        <f>IF($B215="","",SUM(C215:J215))</f>
        <v/>
      </c>
      <c r="M215" s="24">
        <f>IF(OR($B215="",L215=""),"",K215-L215)</f>
        <v/>
      </c>
      <c r="N215" s="25">
        <f>IF(OR($B215="",L215="",L215=0),"",K215/L215)</f>
        <v/>
      </c>
      <c r="O215" s="24">
        <f>IF($B215="","",IF(L215="","אין מצאי",IF(K215&lt;L215,"חוסר",IF(K215&gt;L215,"עודף","תקין"))))</f>
        <v/>
      </c>
      <c r="Q215">
        <f>IF(O215="חוסר",M215-ROW()/100000,IF(O215="עודף",M215+ROW()/100000,""))</f>
        <v/>
      </c>
    </row>
    <row r="216">
      <c r="K216" s="24">
        <f>IF($B216="","",SUM(C216:J216))</f>
        <v/>
      </c>
      <c r="M216" s="24">
        <f>IF(OR($B216="",L216=""),"",K216-L216)</f>
        <v/>
      </c>
      <c r="N216" s="25">
        <f>IF(OR($B216="",L216="",L216=0),"",K216/L216)</f>
        <v/>
      </c>
      <c r="O216" s="24">
        <f>IF($B216="","",IF(L216="","אין מצאי",IF(K216&lt;L216,"חוסר",IF(K216&gt;L216,"עודף","תקין"))))</f>
        <v/>
      </c>
      <c r="Q216">
        <f>IF(O216="חוסר",M216-ROW()/100000,IF(O216="עודף",M216+ROW()/100000,""))</f>
        <v/>
      </c>
    </row>
    <row r="217">
      <c r="K217" s="24">
        <f>IF($B217="","",SUM(C217:J217))</f>
        <v/>
      </c>
      <c r="M217" s="24">
        <f>IF(OR($B217="",L217=""),"",K217-L217)</f>
        <v/>
      </c>
      <c r="N217" s="25">
        <f>IF(OR($B217="",L217="",L217=0),"",K217/L217)</f>
        <v/>
      </c>
      <c r="O217" s="24">
        <f>IF($B217="","",IF(L217="","אין מצאי",IF(K217&lt;L217,"חוסר",IF(K217&gt;L217,"עודף","תקין"))))</f>
        <v/>
      </c>
      <c r="Q217">
        <f>IF(O217="חוסר",M217-ROW()/100000,IF(O217="עודף",M217+ROW()/100000,""))</f>
        <v/>
      </c>
    </row>
    <row r="218">
      <c r="K218" s="24">
        <f>IF($B218="","",SUM(C218:J218))</f>
        <v/>
      </c>
      <c r="M218" s="24">
        <f>IF(OR($B218="",L218=""),"",K218-L218)</f>
        <v/>
      </c>
      <c r="N218" s="25">
        <f>IF(OR($B218="",L218="",L218=0),"",K218/L218)</f>
        <v/>
      </c>
      <c r="O218" s="24">
        <f>IF($B218="","",IF(L218="","אין מצאי",IF(K218&lt;L218,"חוסר",IF(K218&gt;L218,"עודף","תקין"))))</f>
        <v/>
      </c>
      <c r="Q218">
        <f>IF(O218="חוסר",M218-ROW()/100000,IF(O218="עודף",M218+ROW()/100000,""))</f>
        <v/>
      </c>
    </row>
    <row r="219">
      <c r="K219" s="24">
        <f>IF($B219="","",SUM(C219:J219))</f>
        <v/>
      </c>
      <c r="M219" s="24">
        <f>IF(OR($B219="",L219=""),"",K219-L219)</f>
        <v/>
      </c>
      <c r="N219" s="25">
        <f>IF(OR($B219="",L219="",L219=0),"",K219/L219)</f>
        <v/>
      </c>
      <c r="O219" s="24">
        <f>IF($B219="","",IF(L219="","אין מצאי",IF(K219&lt;L219,"חוסר",IF(K219&gt;L219,"עודף","תקין"))))</f>
        <v/>
      </c>
      <c r="Q219">
        <f>IF(O219="חוסר",M219-ROW()/100000,IF(O219="עודף",M219+ROW()/100000,""))</f>
        <v/>
      </c>
    </row>
    <row r="220">
      <c r="K220" s="24">
        <f>IF($B220="","",SUM(C220:J220))</f>
        <v/>
      </c>
      <c r="M220" s="24">
        <f>IF(OR($B220="",L220=""),"",K220-L220)</f>
        <v/>
      </c>
      <c r="N220" s="25">
        <f>IF(OR($B220="",L220="",L220=0),"",K220/L220)</f>
        <v/>
      </c>
      <c r="O220" s="24">
        <f>IF($B220="","",IF(L220="","אין מצאי",IF(K220&lt;L220,"חוסר",IF(K220&gt;L220,"עודף","תקין"))))</f>
        <v/>
      </c>
      <c r="Q220">
        <f>IF(O220="חוסר",M220-ROW()/100000,IF(O220="עודף",M220+ROW()/100000,""))</f>
        <v/>
      </c>
    </row>
    <row r="221">
      <c r="K221" s="24">
        <f>IF($B221="","",SUM(C221:J221))</f>
        <v/>
      </c>
      <c r="M221" s="24">
        <f>IF(OR($B221="",L221=""),"",K221-L221)</f>
        <v/>
      </c>
      <c r="N221" s="25">
        <f>IF(OR($B221="",L221="",L221=0),"",K221/L221)</f>
        <v/>
      </c>
      <c r="O221" s="24">
        <f>IF($B221="","",IF(L221="","אין מצאי",IF(K221&lt;L221,"חוסר",IF(K221&gt;L221,"עודף","תקין"))))</f>
        <v/>
      </c>
      <c r="Q221">
        <f>IF(O221="חוסר",M221-ROW()/100000,IF(O221="עודף",M221+ROW()/100000,""))</f>
        <v/>
      </c>
    </row>
    <row r="222">
      <c r="K222" s="24">
        <f>IF($B222="","",SUM(C222:J222))</f>
        <v/>
      </c>
      <c r="M222" s="24">
        <f>IF(OR($B222="",L222=""),"",K222-L222)</f>
        <v/>
      </c>
      <c r="N222" s="25">
        <f>IF(OR($B222="",L222="",L222=0),"",K222/L222)</f>
        <v/>
      </c>
      <c r="O222" s="24">
        <f>IF($B222="","",IF(L222="","אין מצאי",IF(K222&lt;L222,"חוסר",IF(K222&gt;L222,"עודף","תקין"))))</f>
        <v/>
      </c>
      <c r="Q222">
        <f>IF(O222="חוסר",M222-ROW()/100000,IF(O222="עודף",M222+ROW()/100000,""))</f>
        <v/>
      </c>
    </row>
    <row r="223">
      <c r="K223" s="24">
        <f>IF($B223="","",SUM(C223:J223))</f>
        <v/>
      </c>
      <c r="M223" s="24">
        <f>IF(OR($B223="",L223=""),"",K223-L223)</f>
        <v/>
      </c>
      <c r="N223" s="25">
        <f>IF(OR($B223="",L223="",L223=0),"",K223/L223)</f>
        <v/>
      </c>
      <c r="O223" s="24">
        <f>IF($B223="","",IF(L223="","אין מצאי",IF(K223&lt;L223,"חוסר",IF(K223&gt;L223,"עודף","תקין"))))</f>
        <v/>
      </c>
      <c r="Q223">
        <f>IF(O223="חוסר",M223-ROW()/100000,IF(O223="עודף",M223+ROW()/100000,""))</f>
        <v/>
      </c>
    </row>
    <row r="224">
      <c r="K224" s="24">
        <f>IF($B224="","",SUM(C224:J224))</f>
        <v/>
      </c>
      <c r="M224" s="24">
        <f>IF(OR($B224="",L224=""),"",K224-L224)</f>
        <v/>
      </c>
      <c r="N224" s="25">
        <f>IF(OR($B224="",L224="",L224=0),"",K224/L224)</f>
        <v/>
      </c>
      <c r="O224" s="24">
        <f>IF($B224="","",IF(L224="","אין מצאי",IF(K224&lt;L224,"חוסר",IF(K224&gt;L224,"עודף","תקין"))))</f>
        <v/>
      </c>
      <c r="Q224">
        <f>IF(O224="חוסר",M224-ROW()/100000,IF(O224="עודף",M224+ROW()/100000,""))</f>
        <v/>
      </c>
    </row>
    <row r="225">
      <c r="K225" s="24">
        <f>IF($B225="","",SUM(C225:J225))</f>
        <v/>
      </c>
      <c r="M225" s="24">
        <f>IF(OR($B225="",L225=""),"",K225-L225)</f>
        <v/>
      </c>
      <c r="N225" s="25">
        <f>IF(OR($B225="",L225="",L225=0),"",K225/L225)</f>
        <v/>
      </c>
      <c r="O225" s="24">
        <f>IF($B225="","",IF(L225="","אין מצאי",IF(K225&lt;L225,"חוסר",IF(K225&gt;L225,"עודף","תקין"))))</f>
        <v/>
      </c>
      <c r="Q225">
        <f>IF(O225="חוסר",M225-ROW()/100000,IF(O225="עודף",M225+ROW()/100000,""))</f>
        <v/>
      </c>
    </row>
    <row r="226">
      <c r="K226" s="24">
        <f>IF($B226="","",SUM(C226:J226))</f>
        <v/>
      </c>
      <c r="M226" s="24">
        <f>IF(OR($B226="",L226=""),"",K226-L226)</f>
        <v/>
      </c>
      <c r="N226" s="25">
        <f>IF(OR($B226="",L226="",L226=0),"",K226/L226)</f>
        <v/>
      </c>
      <c r="O226" s="24">
        <f>IF($B226="","",IF(L226="","אין מצאי",IF(K226&lt;L226,"חוסר",IF(K226&gt;L226,"עודף","תקין"))))</f>
        <v/>
      </c>
      <c r="Q226">
        <f>IF(O226="חוסר",M226-ROW()/100000,IF(O226="עודף",M226+ROW()/100000,""))</f>
        <v/>
      </c>
    </row>
    <row r="227">
      <c r="K227" s="24">
        <f>IF($B227="","",SUM(C227:J227))</f>
        <v/>
      </c>
      <c r="M227" s="24">
        <f>IF(OR($B227="",L227=""),"",K227-L227)</f>
        <v/>
      </c>
      <c r="N227" s="25">
        <f>IF(OR($B227="",L227="",L227=0),"",K227/L227)</f>
        <v/>
      </c>
      <c r="O227" s="24">
        <f>IF($B227="","",IF(L227="","אין מצאי",IF(K227&lt;L227,"חוסר",IF(K227&gt;L227,"עודף","תקין"))))</f>
        <v/>
      </c>
      <c r="Q227">
        <f>IF(O227="חוסר",M227-ROW()/100000,IF(O227="עודף",M227+ROW()/100000,""))</f>
        <v/>
      </c>
    </row>
    <row r="228">
      <c r="K228" s="24">
        <f>IF($B228="","",SUM(C228:J228))</f>
        <v/>
      </c>
      <c r="M228" s="24">
        <f>IF(OR($B228="",L228=""),"",K228-L228)</f>
        <v/>
      </c>
      <c r="N228" s="25">
        <f>IF(OR($B228="",L228="",L228=0),"",K228/L228)</f>
        <v/>
      </c>
      <c r="O228" s="24">
        <f>IF($B228="","",IF(L228="","אין מצאי",IF(K228&lt;L228,"חוסר",IF(K228&gt;L228,"עודף","תקין"))))</f>
        <v/>
      </c>
      <c r="Q228">
        <f>IF(O228="חוסר",M228-ROW()/100000,IF(O228="עודף",M228+ROW()/100000,""))</f>
        <v/>
      </c>
    </row>
    <row r="229">
      <c r="K229" s="24">
        <f>IF($B229="","",SUM(C229:J229))</f>
        <v/>
      </c>
      <c r="M229" s="24">
        <f>IF(OR($B229="",L229=""),"",K229-L229)</f>
        <v/>
      </c>
      <c r="N229" s="25">
        <f>IF(OR($B229="",L229="",L229=0),"",K229/L229)</f>
        <v/>
      </c>
      <c r="O229" s="24">
        <f>IF($B229="","",IF(L229="","אין מצאי",IF(K229&lt;L229,"חוסר",IF(K229&gt;L229,"עודף","תקין"))))</f>
        <v/>
      </c>
      <c r="Q229">
        <f>IF(O229="חוסר",M229-ROW()/100000,IF(O229="עודף",M229+ROW()/100000,""))</f>
        <v/>
      </c>
    </row>
    <row r="230">
      <c r="K230" s="24">
        <f>IF($B230="","",SUM(C230:J230))</f>
        <v/>
      </c>
      <c r="M230" s="24">
        <f>IF(OR($B230="",L230=""),"",K230-L230)</f>
        <v/>
      </c>
      <c r="N230" s="25">
        <f>IF(OR($B230="",L230="",L230=0),"",K230/L230)</f>
        <v/>
      </c>
      <c r="O230" s="24">
        <f>IF($B230="","",IF(L230="","אין מצאי",IF(K230&lt;L230,"חוסר",IF(K230&gt;L230,"עודף","תקין"))))</f>
        <v/>
      </c>
      <c r="Q230">
        <f>IF(O230="חוסר",M230-ROW()/100000,IF(O230="עודף",M230+ROW()/100000,""))</f>
        <v/>
      </c>
    </row>
    <row r="231">
      <c r="K231" s="24">
        <f>IF($B231="","",SUM(C231:J231))</f>
        <v/>
      </c>
      <c r="M231" s="24">
        <f>IF(OR($B231="",L231=""),"",K231-L231)</f>
        <v/>
      </c>
      <c r="N231" s="25">
        <f>IF(OR($B231="",L231="",L231=0),"",K231/L231)</f>
        <v/>
      </c>
      <c r="O231" s="24">
        <f>IF($B231="","",IF(L231="","אין מצאי",IF(K231&lt;L231,"חוסר",IF(K231&gt;L231,"עודף","תקין"))))</f>
        <v/>
      </c>
      <c r="Q231">
        <f>IF(O231="חוסר",M231-ROW()/100000,IF(O231="עודף",M231+ROW()/100000,""))</f>
        <v/>
      </c>
    </row>
    <row r="232">
      <c r="K232" s="24">
        <f>IF($B232="","",SUM(C232:J232))</f>
        <v/>
      </c>
      <c r="M232" s="24">
        <f>IF(OR($B232="",L232=""),"",K232-L232)</f>
        <v/>
      </c>
      <c r="N232" s="25">
        <f>IF(OR($B232="",L232="",L232=0),"",K232/L232)</f>
        <v/>
      </c>
      <c r="O232" s="24">
        <f>IF($B232="","",IF(L232="","אין מצאי",IF(K232&lt;L232,"חוסר",IF(K232&gt;L232,"עודף","תקין"))))</f>
        <v/>
      </c>
      <c r="Q232">
        <f>IF(O232="חוסר",M232-ROW()/100000,IF(O232="עודף",M232+ROW()/100000,""))</f>
        <v/>
      </c>
    </row>
    <row r="233">
      <c r="K233" s="24">
        <f>IF($B233="","",SUM(C233:J233))</f>
        <v/>
      </c>
      <c r="M233" s="24">
        <f>IF(OR($B233="",L233=""),"",K233-L233)</f>
        <v/>
      </c>
      <c r="N233" s="25">
        <f>IF(OR($B233="",L233="",L233=0),"",K233/L233)</f>
        <v/>
      </c>
      <c r="O233" s="24">
        <f>IF($B233="","",IF(L233="","אין מצאי",IF(K233&lt;L233,"חוסר",IF(K233&gt;L233,"עודף","תקין"))))</f>
        <v/>
      </c>
      <c r="Q233">
        <f>IF(O233="חוסר",M233-ROW()/100000,IF(O233="עודף",M233+ROW()/100000,""))</f>
        <v/>
      </c>
    </row>
    <row r="234">
      <c r="K234" s="24">
        <f>IF($B234="","",SUM(C234:J234))</f>
        <v/>
      </c>
      <c r="M234" s="24">
        <f>IF(OR($B234="",L234=""),"",K234-L234)</f>
        <v/>
      </c>
      <c r="N234" s="25">
        <f>IF(OR($B234="",L234="",L234=0),"",K234/L234)</f>
        <v/>
      </c>
      <c r="O234" s="24">
        <f>IF($B234="","",IF(L234="","אין מצאי",IF(K234&lt;L234,"חוסר",IF(K234&gt;L234,"עודף","תקין"))))</f>
        <v/>
      </c>
      <c r="Q234">
        <f>IF(O234="חוסר",M234-ROW()/100000,IF(O234="עודף",M234+ROW()/100000,""))</f>
        <v/>
      </c>
    </row>
    <row r="235">
      <c r="K235" s="24">
        <f>IF($B235="","",SUM(C235:J235))</f>
        <v/>
      </c>
      <c r="M235" s="24">
        <f>IF(OR($B235="",L235=""),"",K235-L235)</f>
        <v/>
      </c>
      <c r="N235" s="25">
        <f>IF(OR($B235="",L235="",L235=0),"",K235/L235)</f>
        <v/>
      </c>
      <c r="O235" s="24">
        <f>IF($B235="","",IF(L235="","אין מצאי",IF(K235&lt;L235,"חוסר",IF(K235&gt;L235,"עודף","תקין"))))</f>
        <v/>
      </c>
      <c r="Q235">
        <f>IF(O235="חוסר",M235-ROW()/100000,IF(O235="עודף",M235+ROW()/100000,""))</f>
        <v/>
      </c>
    </row>
    <row r="236">
      <c r="K236" s="24">
        <f>IF($B236="","",SUM(C236:J236))</f>
        <v/>
      </c>
      <c r="M236" s="24">
        <f>IF(OR($B236="",L236=""),"",K236-L236)</f>
        <v/>
      </c>
      <c r="N236" s="25">
        <f>IF(OR($B236="",L236="",L236=0),"",K236/L236)</f>
        <v/>
      </c>
      <c r="O236" s="24">
        <f>IF($B236="","",IF(L236="","אין מצאי",IF(K236&lt;L236,"חוסר",IF(K236&gt;L236,"עודף","תקין"))))</f>
        <v/>
      </c>
      <c r="Q236">
        <f>IF(O236="חוסר",M236-ROW()/100000,IF(O236="עודף",M236+ROW()/100000,""))</f>
        <v/>
      </c>
    </row>
    <row r="237">
      <c r="K237" s="24">
        <f>IF($B237="","",SUM(C237:J237))</f>
        <v/>
      </c>
      <c r="M237" s="24">
        <f>IF(OR($B237="",L237=""),"",K237-L237)</f>
        <v/>
      </c>
      <c r="N237" s="25">
        <f>IF(OR($B237="",L237="",L237=0),"",K237/L237)</f>
        <v/>
      </c>
      <c r="O237" s="24">
        <f>IF($B237="","",IF(L237="","אין מצאי",IF(K237&lt;L237,"חוסר",IF(K237&gt;L237,"עודף","תקין"))))</f>
        <v/>
      </c>
      <c r="Q237">
        <f>IF(O237="חוסר",M237-ROW()/100000,IF(O237="עודף",M237+ROW()/100000,""))</f>
        <v/>
      </c>
    </row>
    <row r="238">
      <c r="K238" s="24">
        <f>IF($B238="","",SUM(C238:J238))</f>
        <v/>
      </c>
      <c r="M238" s="24">
        <f>IF(OR($B238="",L238=""),"",K238-L238)</f>
        <v/>
      </c>
      <c r="N238" s="25">
        <f>IF(OR($B238="",L238="",L238=0),"",K238/L238)</f>
        <v/>
      </c>
      <c r="O238" s="24">
        <f>IF($B238="","",IF(L238="","אין מצאי",IF(K238&lt;L238,"חוסר",IF(K238&gt;L238,"עודף","תקין"))))</f>
        <v/>
      </c>
      <c r="Q238">
        <f>IF(O238="חוסר",M238-ROW()/100000,IF(O238="עודף",M238+ROW()/100000,""))</f>
        <v/>
      </c>
    </row>
    <row r="239">
      <c r="K239" s="24">
        <f>IF($B239="","",SUM(C239:J239))</f>
        <v/>
      </c>
      <c r="M239" s="24">
        <f>IF(OR($B239="",L239=""),"",K239-L239)</f>
        <v/>
      </c>
      <c r="N239" s="25">
        <f>IF(OR($B239="",L239="",L239=0),"",K239/L239)</f>
        <v/>
      </c>
      <c r="O239" s="24">
        <f>IF($B239="","",IF(L239="","אין מצאי",IF(K239&lt;L239,"חוסר",IF(K239&gt;L239,"עודף","תקין"))))</f>
        <v/>
      </c>
      <c r="Q239">
        <f>IF(O239="חוסר",M239-ROW()/100000,IF(O239="עודף",M239+ROW()/100000,""))</f>
        <v/>
      </c>
    </row>
    <row r="240">
      <c r="K240" s="24">
        <f>IF($B240="","",SUM(C240:J240))</f>
        <v/>
      </c>
      <c r="M240" s="24">
        <f>IF(OR($B240="",L240=""),"",K240-L240)</f>
        <v/>
      </c>
      <c r="N240" s="25">
        <f>IF(OR($B240="",L240="",L240=0),"",K240/L240)</f>
        <v/>
      </c>
      <c r="O240" s="24">
        <f>IF($B240="","",IF(L240="","אין מצאי",IF(K240&lt;L240,"חוסר",IF(K240&gt;L240,"עודף","תקין"))))</f>
        <v/>
      </c>
      <c r="Q240">
        <f>IF(O240="חוסר",M240-ROW()/100000,IF(O240="עודף",M240+ROW()/100000,""))</f>
        <v/>
      </c>
    </row>
    <row r="241">
      <c r="K241" s="24">
        <f>IF($B241="","",SUM(C241:J241))</f>
        <v/>
      </c>
      <c r="M241" s="24">
        <f>IF(OR($B241="",L241=""),"",K241-L241)</f>
        <v/>
      </c>
      <c r="N241" s="25">
        <f>IF(OR($B241="",L241="",L241=0),"",K241/L241)</f>
        <v/>
      </c>
      <c r="O241" s="24">
        <f>IF($B241="","",IF(L241="","אין מצאי",IF(K241&lt;L241,"חוסר",IF(K241&gt;L241,"עודף","תקין"))))</f>
        <v/>
      </c>
      <c r="Q241">
        <f>IF(O241="חוסר",M241-ROW()/100000,IF(O241="עודף",M241+ROW()/100000,""))</f>
        <v/>
      </c>
    </row>
    <row r="242">
      <c r="K242" s="24">
        <f>IF($B242="","",SUM(C242:J242))</f>
        <v/>
      </c>
      <c r="M242" s="24">
        <f>IF(OR($B242="",L242=""),"",K242-L242)</f>
        <v/>
      </c>
      <c r="N242" s="25">
        <f>IF(OR($B242="",L242="",L242=0),"",K242/L242)</f>
        <v/>
      </c>
      <c r="O242" s="24">
        <f>IF($B242="","",IF(L242="","אין מצאי",IF(K242&lt;L242,"חוסר",IF(K242&gt;L242,"עודף","תקין"))))</f>
        <v/>
      </c>
      <c r="Q242">
        <f>IF(O242="חוסר",M242-ROW()/100000,IF(O242="עודף",M242+ROW()/100000,""))</f>
        <v/>
      </c>
    </row>
    <row r="243">
      <c r="K243" s="24">
        <f>IF($B243="","",SUM(C243:J243))</f>
        <v/>
      </c>
      <c r="M243" s="24">
        <f>IF(OR($B243="",L243=""),"",K243-L243)</f>
        <v/>
      </c>
      <c r="N243" s="25">
        <f>IF(OR($B243="",L243="",L243=0),"",K243/L243)</f>
        <v/>
      </c>
      <c r="O243" s="24">
        <f>IF($B243="","",IF(L243="","אין מצאי",IF(K243&lt;L243,"חוסר",IF(K243&gt;L243,"עודף","תקין"))))</f>
        <v/>
      </c>
      <c r="Q243">
        <f>IF(O243="חוסר",M243-ROW()/100000,IF(O243="עודף",M243+ROW()/100000,""))</f>
        <v/>
      </c>
    </row>
    <row r="244">
      <c r="K244" s="24">
        <f>IF($B244="","",SUM(C244:J244))</f>
        <v/>
      </c>
      <c r="M244" s="24">
        <f>IF(OR($B244="",L244=""),"",K244-L244)</f>
        <v/>
      </c>
      <c r="N244" s="25">
        <f>IF(OR($B244="",L244="",L244=0),"",K244/L244)</f>
        <v/>
      </c>
      <c r="O244" s="24">
        <f>IF($B244="","",IF(L244="","אין מצאי",IF(K244&lt;L244,"חוסר",IF(K244&gt;L244,"עודף","תקין"))))</f>
        <v/>
      </c>
      <c r="Q244">
        <f>IF(O244="חוסר",M244-ROW()/100000,IF(O244="עודף",M244+ROW()/100000,""))</f>
        <v/>
      </c>
    </row>
    <row r="245">
      <c r="K245" s="24">
        <f>IF($B245="","",SUM(C245:J245))</f>
        <v/>
      </c>
      <c r="M245" s="24">
        <f>IF(OR($B245="",L245=""),"",K245-L245)</f>
        <v/>
      </c>
      <c r="N245" s="25">
        <f>IF(OR($B245="",L245="",L245=0),"",K245/L245)</f>
        <v/>
      </c>
      <c r="O245" s="24">
        <f>IF($B245="","",IF(L245="","אין מצאי",IF(K245&lt;L245,"חוסר",IF(K245&gt;L245,"עודף","תקין"))))</f>
        <v/>
      </c>
      <c r="Q245">
        <f>IF(O245="חוסר",M245-ROW()/100000,IF(O245="עודף",M245+ROW()/100000,""))</f>
        <v/>
      </c>
    </row>
    <row r="246">
      <c r="K246" s="24">
        <f>IF($B246="","",SUM(C246:J246))</f>
        <v/>
      </c>
      <c r="M246" s="24">
        <f>IF(OR($B246="",L246=""),"",K246-L246)</f>
        <v/>
      </c>
      <c r="N246" s="25">
        <f>IF(OR($B246="",L246="",L246=0),"",K246/L246)</f>
        <v/>
      </c>
      <c r="O246" s="24">
        <f>IF($B246="","",IF(L246="","אין מצאי",IF(K246&lt;L246,"חוסר",IF(K246&gt;L246,"עודף","תקין"))))</f>
        <v/>
      </c>
      <c r="Q246">
        <f>IF(O246="חוסר",M246-ROW()/100000,IF(O246="עודף",M246+ROW()/100000,""))</f>
        <v/>
      </c>
    </row>
    <row r="247">
      <c r="K247" s="24">
        <f>IF($B247="","",SUM(C247:J247))</f>
        <v/>
      </c>
      <c r="M247" s="24">
        <f>IF(OR($B247="",L247=""),"",K247-L247)</f>
        <v/>
      </c>
      <c r="N247" s="25">
        <f>IF(OR($B247="",L247="",L247=0),"",K247/L247)</f>
        <v/>
      </c>
      <c r="O247" s="24">
        <f>IF($B247="","",IF(L247="","אין מצאי",IF(K247&lt;L247,"חוסר",IF(K247&gt;L247,"עודף","תקין"))))</f>
        <v/>
      </c>
      <c r="Q247">
        <f>IF(O247="חוסר",M247-ROW()/100000,IF(O247="עודף",M247+ROW()/100000,""))</f>
        <v/>
      </c>
    </row>
    <row r="248">
      <c r="K248" s="24">
        <f>IF($B248="","",SUM(C248:J248))</f>
        <v/>
      </c>
      <c r="M248" s="24">
        <f>IF(OR($B248="",L248=""),"",K248-L248)</f>
        <v/>
      </c>
      <c r="N248" s="25">
        <f>IF(OR($B248="",L248="",L248=0),"",K248/L248)</f>
        <v/>
      </c>
      <c r="O248" s="24">
        <f>IF($B248="","",IF(L248="","אין מצאי",IF(K248&lt;L248,"חוסר",IF(K248&gt;L248,"עודף","תקין"))))</f>
        <v/>
      </c>
      <c r="Q248">
        <f>IF(O248="חוסר",M248-ROW()/100000,IF(O248="עודף",M248+ROW()/100000,""))</f>
        <v/>
      </c>
    </row>
    <row r="249">
      <c r="K249" s="24">
        <f>IF($B249="","",SUM(C249:J249))</f>
        <v/>
      </c>
      <c r="M249" s="24">
        <f>IF(OR($B249="",L249=""),"",K249-L249)</f>
        <v/>
      </c>
      <c r="N249" s="25">
        <f>IF(OR($B249="",L249="",L249=0),"",K249/L249)</f>
        <v/>
      </c>
      <c r="O249" s="24">
        <f>IF($B249="","",IF(L249="","אין מצאי",IF(K249&lt;L249,"חוסר",IF(K249&gt;L249,"עודף","תקין"))))</f>
        <v/>
      </c>
      <c r="Q249">
        <f>IF(O249="חוסר",M249-ROW()/100000,IF(O249="עודף",M249+ROW()/100000,""))</f>
        <v/>
      </c>
    </row>
    <row r="250">
      <c r="K250" s="24">
        <f>IF($B250="","",SUM(C250:J250))</f>
        <v/>
      </c>
      <c r="M250" s="24">
        <f>IF(OR($B250="",L250=""),"",K250-L250)</f>
        <v/>
      </c>
      <c r="N250" s="25">
        <f>IF(OR($B250="",L250="",L250=0),"",K250/L250)</f>
        <v/>
      </c>
      <c r="O250" s="24">
        <f>IF($B250="","",IF(L250="","אין מצאי",IF(K250&lt;L250,"חוסר",IF(K250&gt;L250,"עודף","תקין"))))</f>
        <v/>
      </c>
      <c r="Q250">
        <f>IF(O250="חוסר",M250-ROW()/100000,IF(O250="עודף",M250+ROW()/100000,""))</f>
        <v/>
      </c>
    </row>
    <row r="251">
      <c r="K251" s="24">
        <f>IF($B251="","",SUM(C251:J251))</f>
        <v/>
      </c>
      <c r="M251" s="24">
        <f>IF(OR($B251="",L251=""),"",K251-L251)</f>
        <v/>
      </c>
      <c r="N251" s="25">
        <f>IF(OR($B251="",L251="",L251=0),"",K251/L251)</f>
        <v/>
      </c>
      <c r="O251" s="24">
        <f>IF($B251="","",IF(L251="","אין מצאי",IF(K251&lt;L251,"חוסר",IF(K251&gt;L251,"עודף","תקין"))))</f>
        <v/>
      </c>
      <c r="Q251">
        <f>IF(O251="חוסר",M251-ROW()/100000,IF(O251="עודף",M251+ROW()/100000,""))</f>
        <v/>
      </c>
    </row>
    <row r="252">
      <c r="K252" s="24">
        <f>IF($B252="","",SUM(C252:J252))</f>
        <v/>
      </c>
      <c r="M252" s="24">
        <f>IF(OR($B252="",L252=""),"",K252-L252)</f>
        <v/>
      </c>
      <c r="N252" s="25">
        <f>IF(OR($B252="",L252="",L252=0),"",K252/L252)</f>
        <v/>
      </c>
      <c r="O252" s="24">
        <f>IF($B252="","",IF(L252="","אין מצאי",IF(K252&lt;L252,"חוסר",IF(K252&gt;L252,"עודף","תקין"))))</f>
        <v/>
      </c>
      <c r="Q252">
        <f>IF(O252="חוסר",M252-ROW()/100000,IF(O252="עודף",M252+ROW()/100000,""))</f>
        <v/>
      </c>
    </row>
    <row r="253">
      <c r="K253" s="24">
        <f>IF($B253="","",SUM(C253:J253))</f>
        <v/>
      </c>
      <c r="M253" s="24">
        <f>IF(OR($B253="",L253=""),"",K253-L253)</f>
        <v/>
      </c>
      <c r="N253" s="25">
        <f>IF(OR($B253="",L253="",L253=0),"",K253/L253)</f>
        <v/>
      </c>
      <c r="O253" s="24">
        <f>IF($B253="","",IF(L253="","אין מצאי",IF(K253&lt;L253,"חוסר",IF(K253&gt;L253,"עודף","תקין"))))</f>
        <v/>
      </c>
      <c r="Q253">
        <f>IF(O253="חוסר",M253-ROW()/100000,IF(O253="עודף",M253+ROW()/100000,""))</f>
        <v/>
      </c>
    </row>
    <row r="254">
      <c r="K254" s="24">
        <f>IF($B254="","",SUM(C254:J254))</f>
        <v/>
      </c>
      <c r="M254" s="24">
        <f>IF(OR($B254="",L254=""),"",K254-L254)</f>
        <v/>
      </c>
      <c r="N254" s="25">
        <f>IF(OR($B254="",L254="",L254=0),"",K254/L254)</f>
        <v/>
      </c>
      <c r="O254" s="24">
        <f>IF($B254="","",IF(L254="","אין מצאי",IF(K254&lt;L254,"חוסר",IF(K254&gt;L254,"עודף","תקין"))))</f>
        <v/>
      </c>
      <c r="Q254">
        <f>IF(O254="חוסר",M254-ROW()/100000,IF(O254="עודף",M254+ROW()/100000,""))</f>
        <v/>
      </c>
    </row>
    <row r="255">
      <c r="K255" s="24">
        <f>IF($B255="","",SUM(C255:J255))</f>
        <v/>
      </c>
      <c r="M255" s="24">
        <f>IF(OR($B255="",L255=""),"",K255-L255)</f>
        <v/>
      </c>
      <c r="N255" s="25">
        <f>IF(OR($B255="",L255="",L255=0),"",K255/L255)</f>
        <v/>
      </c>
      <c r="O255" s="24">
        <f>IF($B255="","",IF(L255="","אין מצאי",IF(K255&lt;L255,"חוסר",IF(K255&gt;L255,"עודף","תקין"))))</f>
        <v/>
      </c>
      <c r="Q255">
        <f>IF(O255="חוסר",M255-ROW()/100000,IF(O255="עודף",M255+ROW()/100000,""))</f>
        <v/>
      </c>
    </row>
    <row r="256">
      <c r="K256" s="24">
        <f>IF($B256="","",SUM(C256:J256))</f>
        <v/>
      </c>
      <c r="M256" s="24">
        <f>IF(OR($B256="",L256=""),"",K256-L256)</f>
        <v/>
      </c>
      <c r="N256" s="25">
        <f>IF(OR($B256="",L256="",L256=0),"",K256/L256)</f>
        <v/>
      </c>
      <c r="O256" s="24">
        <f>IF($B256="","",IF(L256="","אין מצאי",IF(K256&lt;L256,"חוסר",IF(K256&gt;L256,"עודף","תקין"))))</f>
        <v/>
      </c>
      <c r="Q256">
        <f>IF(O256="חוסר",M256-ROW()/100000,IF(O256="עודף",M256+ROW()/100000,""))</f>
        <v/>
      </c>
    </row>
    <row r="257">
      <c r="K257" s="24">
        <f>IF($B257="","",SUM(C257:J257))</f>
        <v/>
      </c>
      <c r="M257" s="24">
        <f>IF(OR($B257="",L257=""),"",K257-L257)</f>
        <v/>
      </c>
      <c r="N257" s="25">
        <f>IF(OR($B257="",L257="",L257=0),"",K257/L257)</f>
        <v/>
      </c>
      <c r="O257" s="24">
        <f>IF($B257="","",IF(L257="","אין מצאי",IF(K257&lt;L257,"חוסר",IF(K257&gt;L257,"עודף","תקין"))))</f>
        <v/>
      </c>
      <c r="Q257">
        <f>IF(O257="חוסר",M257-ROW()/100000,IF(O257="עודף",M257+ROW()/100000,""))</f>
        <v/>
      </c>
    </row>
    <row r="258">
      <c r="K258" s="24">
        <f>IF($B258="","",SUM(C258:J258))</f>
        <v/>
      </c>
      <c r="M258" s="24">
        <f>IF(OR($B258="",L258=""),"",K258-L258)</f>
        <v/>
      </c>
      <c r="N258" s="25">
        <f>IF(OR($B258="",L258="",L258=0),"",K258/L258)</f>
        <v/>
      </c>
      <c r="O258" s="24">
        <f>IF($B258="","",IF(L258="","אין מצאי",IF(K258&lt;L258,"חוסר",IF(K258&gt;L258,"עודף","תקין"))))</f>
        <v/>
      </c>
      <c r="Q258">
        <f>IF(O258="חוסר",M258-ROW()/100000,IF(O258="עודף",M258+ROW()/100000,""))</f>
        <v/>
      </c>
    </row>
    <row r="259">
      <c r="K259" s="24">
        <f>IF($B259="","",SUM(C259:J259))</f>
        <v/>
      </c>
      <c r="M259" s="24">
        <f>IF(OR($B259="",L259=""),"",K259-L259)</f>
        <v/>
      </c>
      <c r="N259" s="25">
        <f>IF(OR($B259="",L259="",L259=0),"",K259/L259)</f>
        <v/>
      </c>
      <c r="O259" s="24">
        <f>IF($B259="","",IF(L259="","אין מצאי",IF(K259&lt;L259,"חוסר",IF(K259&gt;L259,"עודף","תקין"))))</f>
        <v/>
      </c>
      <c r="Q259">
        <f>IF(O259="חוסר",M259-ROW()/100000,IF(O259="עודף",M259+ROW()/100000,""))</f>
        <v/>
      </c>
    </row>
    <row r="260">
      <c r="K260" s="24">
        <f>IF($B260="","",SUM(C260:J260))</f>
        <v/>
      </c>
      <c r="M260" s="24">
        <f>IF(OR($B260="",L260=""),"",K260-L260)</f>
        <v/>
      </c>
      <c r="N260" s="25">
        <f>IF(OR($B260="",L260="",L260=0),"",K260/L260)</f>
        <v/>
      </c>
      <c r="O260" s="24">
        <f>IF($B260="","",IF(L260="","אין מצאי",IF(K260&lt;L260,"חוסר",IF(K260&gt;L260,"עודף","תקין"))))</f>
        <v/>
      </c>
      <c r="Q260">
        <f>IF(O260="חוסר",M260-ROW()/100000,IF(O260="עודף",M260+ROW()/100000,""))</f>
        <v/>
      </c>
    </row>
    <row r="261">
      <c r="K261" s="24">
        <f>IF($B261="","",SUM(C261:J261))</f>
        <v/>
      </c>
      <c r="M261" s="24">
        <f>IF(OR($B261="",L261=""),"",K261-L261)</f>
        <v/>
      </c>
      <c r="N261" s="25">
        <f>IF(OR($B261="",L261="",L261=0),"",K261/L261)</f>
        <v/>
      </c>
      <c r="O261" s="24">
        <f>IF($B261="","",IF(L261="","אין מצאי",IF(K261&lt;L261,"חוסר",IF(K261&gt;L261,"עודף","תקין"))))</f>
        <v/>
      </c>
      <c r="Q261">
        <f>IF(O261="חוסר",M261-ROW()/100000,IF(O261="עודף",M261+ROW()/100000,""))</f>
        <v/>
      </c>
    </row>
    <row r="262">
      <c r="K262" s="24">
        <f>IF($B262="","",SUM(C262:J262))</f>
        <v/>
      </c>
      <c r="M262" s="24">
        <f>IF(OR($B262="",L262=""),"",K262-L262)</f>
        <v/>
      </c>
      <c r="N262" s="25">
        <f>IF(OR($B262="",L262="",L262=0),"",K262/L262)</f>
        <v/>
      </c>
      <c r="O262" s="24">
        <f>IF($B262="","",IF(L262="","אין מצאי",IF(K262&lt;L262,"חוסר",IF(K262&gt;L262,"עודף","תקין"))))</f>
        <v/>
      </c>
      <c r="Q262">
        <f>IF(O262="חוסר",M262-ROW()/100000,IF(O262="עודף",M262+ROW()/100000,""))</f>
        <v/>
      </c>
    </row>
    <row r="263">
      <c r="K263" s="24">
        <f>IF($B263="","",SUM(C263:J263))</f>
        <v/>
      </c>
      <c r="M263" s="24">
        <f>IF(OR($B263="",L263=""),"",K263-L263)</f>
        <v/>
      </c>
      <c r="N263" s="25">
        <f>IF(OR($B263="",L263="",L263=0),"",K263/L263)</f>
        <v/>
      </c>
      <c r="O263" s="24">
        <f>IF($B263="","",IF(L263="","אין מצאי",IF(K263&lt;L263,"חוסר",IF(K263&gt;L263,"עודף","תקין"))))</f>
        <v/>
      </c>
      <c r="Q263">
        <f>IF(O263="חוסר",M263-ROW()/100000,IF(O263="עודף",M263+ROW()/100000,""))</f>
        <v/>
      </c>
    </row>
    <row r="264">
      <c r="K264" s="24">
        <f>IF($B264="","",SUM(C264:J264))</f>
        <v/>
      </c>
      <c r="M264" s="24">
        <f>IF(OR($B264="",L264=""),"",K264-L264)</f>
        <v/>
      </c>
      <c r="N264" s="25">
        <f>IF(OR($B264="",L264="",L264=0),"",K264/L264)</f>
        <v/>
      </c>
      <c r="O264" s="24">
        <f>IF($B264="","",IF(L264="","אין מצאי",IF(K264&lt;L264,"חוסר",IF(K264&gt;L264,"עודף","תקין"))))</f>
        <v/>
      </c>
      <c r="Q264">
        <f>IF(O264="חוסר",M264-ROW()/100000,IF(O264="עודף",M264+ROW()/100000,""))</f>
        <v/>
      </c>
    </row>
    <row r="265">
      <c r="K265" s="24">
        <f>IF($B265="","",SUM(C265:J265))</f>
        <v/>
      </c>
      <c r="M265" s="24">
        <f>IF(OR($B265="",L265=""),"",K265-L265)</f>
        <v/>
      </c>
      <c r="N265" s="25">
        <f>IF(OR($B265="",L265="",L265=0),"",K265/L265)</f>
        <v/>
      </c>
      <c r="O265" s="24">
        <f>IF($B265="","",IF(L265="","אין מצאי",IF(K265&lt;L265,"חוסר",IF(K265&gt;L265,"עודף","תקין"))))</f>
        <v/>
      </c>
      <c r="Q265">
        <f>IF(O265="חוסר",M265-ROW()/100000,IF(O265="עודף",M265+ROW()/100000,""))</f>
        <v/>
      </c>
    </row>
    <row r="266">
      <c r="K266" s="24">
        <f>IF($B266="","",SUM(C266:J266))</f>
        <v/>
      </c>
      <c r="M266" s="24">
        <f>IF(OR($B266="",L266=""),"",K266-L266)</f>
        <v/>
      </c>
      <c r="N266" s="25">
        <f>IF(OR($B266="",L266="",L266=0),"",K266/L266)</f>
        <v/>
      </c>
      <c r="O266" s="24">
        <f>IF($B266="","",IF(L266="","אין מצאי",IF(K266&lt;L266,"חוסר",IF(K266&gt;L266,"עודף","תקין"))))</f>
        <v/>
      </c>
      <c r="Q266">
        <f>IF(O266="חוסר",M266-ROW()/100000,IF(O266="עודף",M266+ROW()/100000,""))</f>
        <v/>
      </c>
    </row>
    <row r="267">
      <c r="K267" s="24">
        <f>IF($B267="","",SUM(C267:J267))</f>
        <v/>
      </c>
      <c r="M267" s="24">
        <f>IF(OR($B267="",L267=""),"",K267-L267)</f>
        <v/>
      </c>
      <c r="N267" s="25">
        <f>IF(OR($B267="",L267="",L267=0),"",K267/L267)</f>
        <v/>
      </c>
      <c r="O267" s="24">
        <f>IF($B267="","",IF(L267="","אין מצאי",IF(K267&lt;L267,"חוסר",IF(K267&gt;L267,"עודף","תקין"))))</f>
        <v/>
      </c>
      <c r="Q267">
        <f>IF(O267="חוסר",M267-ROW()/100000,IF(O267="עודף",M267+ROW()/100000,""))</f>
        <v/>
      </c>
    </row>
    <row r="268">
      <c r="K268" s="24">
        <f>IF($B268="","",SUM(C268:J268))</f>
        <v/>
      </c>
      <c r="M268" s="24">
        <f>IF(OR($B268="",L268=""),"",K268-L268)</f>
        <v/>
      </c>
      <c r="N268" s="25">
        <f>IF(OR($B268="",L268="",L268=0),"",K268/L268)</f>
        <v/>
      </c>
      <c r="O268" s="24">
        <f>IF($B268="","",IF(L268="","אין מצאי",IF(K268&lt;L268,"חוסר",IF(K268&gt;L268,"עודף","תקין"))))</f>
        <v/>
      </c>
      <c r="Q268">
        <f>IF(O268="חוסר",M268-ROW()/100000,IF(O268="עודף",M268+ROW()/100000,""))</f>
        <v/>
      </c>
    </row>
    <row r="269">
      <c r="K269" s="24">
        <f>IF($B269="","",SUM(C269:J269))</f>
        <v/>
      </c>
      <c r="M269" s="24">
        <f>IF(OR($B269="",L269=""),"",K269-L269)</f>
        <v/>
      </c>
      <c r="N269" s="25">
        <f>IF(OR($B269="",L269="",L269=0),"",K269/L269)</f>
        <v/>
      </c>
      <c r="O269" s="24">
        <f>IF($B269="","",IF(L269="","אין מצאי",IF(K269&lt;L269,"חוסר",IF(K269&gt;L269,"עודף","תקין"))))</f>
        <v/>
      </c>
      <c r="Q269">
        <f>IF(O269="חוסר",M269-ROW()/100000,IF(O269="עודף",M269+ROW()/100000,""))</f>
        <v/>
      </c>
    </row>
    <row r="270">
      <c r="K270" s="24">
        <f>IF($B270="","",SUM(C270:J270))</f>
        <v/>
      </c>
      <c r="M270" s="24">
        <f>IF(OR($B270="",L270=""),"",K270-L270)</f>
        <v/>
      </c>
      <c r="N270" s="25">
        <f>IF(OR($B270="",L270="",L270=0),"",K270/L270)</f>
        <v/>
      </c>
      <c r="O270" s="24">
        <f>IF($B270="","",IF(L270="","אין מצאי",IF(K270&lt;L270,"חוסר",IF(K270&gt;L270,"עודף","תקין"))))</f>
        <v/>
      </c>
      <c r="Q270">
        <f>IF(O270="חוסר",M270-ROW()/100000,IF(O270="עודף",M270+ROW()/100000,""))</f>
        <v/>
      </c>
    </row>
    <row r="271">
      <c r="K271" s="24">
        <f>IF($B271="","",SUM(C271:J271))</f>
        <v/>
      </c>
      <c r="M271" s="24">
        <f>IF(OR($B271="",L271=""),"",K271-L271)</f>
        <v/>
      </c>
      <c r="N271" s="25">
        <f>IF(OR($B271="",L271="",L271=0),"",K271/L271)</f>
        <v/>
      </c>
      <c r="O271" s="24">
        <f>IF($B271="","",IF(L271="","אין מצאי",IF(K271&lt;L271,"חוסר",IF(K271&gt;L271,"עודף","תקין"))))</f>
        <v/>
      </c>
      <c r="Q271">
        <f>IF(O271="חוסר",M271-ROW()/100000,IF(O271="עודף",M271+ROW()/100000,""))</f>
        <v/>
      </c>
    </row>
    <row r="272">
      <c r="K272" s="24">
        <f>IF($B272="","",SUM(C272:J272))</f>
        <v/>
      </c>
      <c r="M272" s="24">
        <f>IF(OR($B272="",L272=""),"",K272-L272)</f>
        <v/>
      </c>
      <c r="N272" s="25">
        <f>IF(OR($B272="",L272="",L272=0),"",K272/L272)</f>
        <v/>
      </c>
      <c r="O272" s="24">
        <f>IF($B272="","",IF(L272="","אין מצאי",IF(K272&lt;L272,"חוסר",IF(K272&gt;L272,"עודף","תקין"))))</f>
        <v/>
      </c>
      <c r="Q272">
        <f>IF(O272="חוסר",M272-ROW()/100000,IF(O272="עודף",M272+ROW()/100000,""))</f>
        <v/>
      </c>
    </row>
    <row r="273">
      <c r="K273" s="24">
        <f>IF($B273="","",SUM(C273:J273))</f>
        <v/>
      </c>
      <c r="M273" s="24">
        <f>IF(OR($B273="",L273=""),"",K273-L273)</f>
        <v/>
      </c>
      <c r="N273" s="25">
        <f>IF(OR($B273="",L273="",L273=0),"",K273/L273)</f>
        <v/>
      </c>
      <c r="O273" s="24">
        <f>IF($B273="","",IF(L273="","אין מצאי",IF(K273&lt;L273,"חוסר",IF(K273&gt;L273,"עודף","תקין"))))</f>
        <v/>
      </c>
      <c r="Q273">
        <f>IF(O273="חוסר",M273-ROW()/100000,IF(O273="עודף",M273+ROW()/100000,""))</f>
        <v/>
      </c>
    </row>
    <row r="274">
      <c r="K274" s="24">
        <f>IF($B274="","",SUM(C274:J274))</f>
        <v/>
      </c>
      <c r="M274" s="24">
        <f>IF(OR($B274="",L274=""),"",K274-L274)</f>
        <v/>
      </c>
      <c r="N274" s="25">
        <f>IF(OR($B274="",L274="",L274=0),"",K274/L274)</f>
        <v/>
      </c>
      <c r="O274" s="24">
        <f>IF($B274="","",IF(L274="","אין מצאי",IF(K274&lt;L274,"חוסר",IF(K274&gt;L274,"עודף","תקין"))))</f>
        <v/>
      </c>
      <c r="Q274">
        <f>IF(O274="חוסר",M274-ROW()/100000,IF(O274="עודף",M274+ROW()/100000,""))</f>
        <v/>
      </c>
    </row>
    <row r="275">
      <c r="K275" s="24">
        <f>IF($B275="","",SUM(C275:J275))</f>
        <v/>
      </c>
      <c r="M275" s="24">
        <f>IF(OR($B275="",L275=""),"",K275-L275)</f>
        <v/>
      </c>
      <c r="N275" s="25">
        <f>IF(OR($B275="",L275="",L275=0),"",K275/L275)</f>
        <v/>
      </c>
      <c r="O275" s="24">
        <f>IF($B275="","",IF(L275="","אין מצאי",IF(K275&lt;L275,"חוסר",IF(K275&gt;L275,"עודף","תקין"))))</f>
        <v/>
      </c>
      <c r="Q275">
        <f>IF(O275="חוסר",M275-ROW()/100000,IF(O275="עודף",M275+ROW()/100000,""))</f>
        <v/>
      </c>
    </row>
    <row r="276">
      <c r="K276" s="24">
        <f>IF($B276="","",SUM(C276:J276))</f>
        <v/>
      </c>
      <c r="M276" s="24">
        <f>IF(OR($B276="",L276=""),"",K276-L276)</f>
        <v/>
      </c>
      <c r="N276" s="25">
        <f>IF(OR($B276="",L276="",L276=0),"",K276/L276)</f>
        <v/>
      </c>
      <c r="O276" s="24">
        <f>IF($B276="","",IF(L276="","אין מצאי",IF(K276&lt;L276,"חוסר",IF(K276&gt;L276,"עודף","תקין"))))</f>
        <v/>
      </c>
      <c r="Q276">
        <f>IF(O276="חוסר",M276-ROW()/100000,IF(O276="עודף",M276+ROW()/100000,""))</f>
        <v/>
      </c>
    </row>
    <row r="277">
      <c r="K277" s="24">
        <f>IF($B277="","",SUM(C277:J277))</f>
        <v/>
      </c>
      <c r="M277" s="24">
        <f>IF(OR($B277="",L277=""),"",K277-L277)</f>
        <v/>
      </c>
      <c r="N277" s="25">
        <f>IF(OR($B277="",L277="",L277=0),"",K277/L277)</f>
        <v/>
      </c>
      <c r="O277" s="24">
        <f>IF($B277="","",IF(L277="","אין מצאי",IF(K277&lt;L277,"חוסר",IF(K277&gt;L277,"עודף","תקין"))))</f>
        <v/>
      </c>
      <c r="Q277">
        <f>IF(O277="חוסר",M277-ROW()/100000,IF(O277="עודף",M277+ROW()/100000,""))</f>
        <v/>
      </c>
    </row>
    <row r="278">
      <c r="K278" s="24">
        <f>IF($B278="","",SUM(C278:J278))</f>
        <v/>
      </c>
      <c r="M278" s="24">
        <f>IF(OR($B278="",L278=""),"",K278-L278)</f>
        <v/>
      </c>
      <c r="N278" s="25">
        <f>IF(OR($B278="",L278="",L278=0),"",K278/L278)</f>
        <v/>
      </c>
      <c r="O278" s="24">
        <f>IF($B278="","",IF(L278="","אין מצאי",IF(K278&lt;L278,"חוסר",IF(K278&gt;L278,"עודף","תקין"))))</f>
        <v/>
      </c>
      <c r="Q278">
        <f>IF(O278="חוסר",M278-ROW()/100000,IF(O278="עודף",M278+ROW()/100000,""))</f>
        <v/>
      </c>
    </row>
    <row r="279">
      <c r="K279" s="24">
        <f>IF($B279="","",SUM(C279:J279))</f>
        <v/>
      </c>
      <c r="M279" s="24">
        <f>IF(OR($B279="",L279=""),"",K279-L279)</f>
        <v/>
      </c>
      <c r="N279" s="25">
        <f>IF(OR($B279="",L279="",L279=0),"",K279/L279)</f>
        <v/>
      </c>
      <c r="O279" s="24">
        <f>IF($B279="","",IF(L279="","אין מצאי",IF(K279&lt;L279,"חוסר",IF(K279&gt;L279,"עודף","תקין"))))</f>
        <v/>
      </c>
      <c r="Q279">
        <f>IF(O279="חוסר",M279-ROW()/100000,IF(O279="עודף",M279+ROW()/100000,""))</f>
        <v/>
      </c>
    </row>
    <row r="280">
      <c r="K280" s="24">
        <f>IF($B280="","",SUM(C280:J280))</f>
        <v/>
      </c>
      <c r="M280" s="24">
        <f>IF(OR($B280="",L280=""),"",K280-L280)</f>
        <v/>
      </c>
      <c r="N280" s="25">
        <f>IF(OR($B280="",L280="",L280=0),"",K280/L280)</f>
        <v/>
      </c>
      <c r="O280" s="24">
        <f>IF($B280="","",IF(L280="","אין מצאי",IF(K280&lt;L280,"חוסר",IF(K280&gt;L280,"עודף","תקין"))))</f>
        <v/>
      </c>
      <c r="Q280">
        <f>IF(O280="חוסר",M280-ROW()/100000,IF(O280="עודף",M280+ROW()/100000,""))</f>
        <v/>
      </c>
    </row>
    <row r="281">
      <c r="K281" s="24">
        <f>IF($B281="","",SUM(C281:J281))</f>
        <v/>
      </c>
      <c r="M281" s="24">
        <f>IF(OR($B281="",L281=""),"",K281-L281)</f>
        <v/>
      </c>
      <c r="N281" s="25">
        <f>IF(OR($B281="",L281="",L281=0),"",K281/L281)</f>
        <v/>
      </c>
      <c r="O281" s="24">
        <f>IF($B281="","",IF(L281="","אין מצאי",IF(K281&lt;L281,"חוסר",IF(K281&gt;L281,"עודף","תקין"))))</f>
        <v/>
      </c>
      <c r="Q281">
        <f>IF(O281="חוסר",M281-ROW()/100000,IF(O281="עודף",M281+ROW()/100000,""))</f>
        <v/>
      </c>
    </row>
    <row r="282">
      <c r="K282" s="24">
        <f>IF($B282="","",SUM(C282:J282))</f>
        <v/>
      </c>
      <c r="M282" s="24">
        <f>IF(OR($B282="",L282=""),"",K282-L282)</f>
        <v/>
      </c>
      <c r="N282" s="25">
        <f>IF(OR($B282="",L282="",L282=0),"",K282/L282)</f>
        <v/>
      </c>
      <c r="O282" s="24">
        <f>IF($B282="","",IF(L282="","אין מצאי",IF(K282&lt;L282,"חוסר",IF(K282&gt;L282,"עודף","תקין"))))</f>
        <v/>
      </c>
      <c r="Q282">
        <f>IF(O282="חוסר",M282-ROW()/100000,IF(O282="עודף",M282+ROW()/100000,""))</f>
        <v/>
      </c>
    </row>
    <row r="283">
      <c r="K283" s="24">
        <f>IF($B283="","",SUM(C283:J283))</f>
        <v/>
      </c>
      <c r="M283" s="24">
        <f>IF(OR($B283="",L283=""),"",K283-L283)</f>
        <v/>
      </c>
      <c r="N283" s="25">
        <f>IF(OR($B283="",L283="",L283=0),"",K283/L283)</f>
        <v/>
      </c>
      <c r="O283" s="24">
        <f>IF($B283="","",IF(L283="","אין מצאי",IF(K283&lt;L283,"חוסר",IF(K283&gt;L283,"עודף","תקין"))))</f>
        <v/>
      </c>
      <c r="Q283">
        <f>IF(O283="חוסר",M283-ROW()/100000,IF(O283="עודף",M283+ROW()/100000,""))</f>
        <v/>
      </c>
    </row>
    <row r="284">
      <c r="K284" s="24">
        <f>IF($B284="","",SUM(C284:J284))</f>
        <v/>
      </c>
      <c r="M284" s="24">
        <f>IF(OR($B284="",L284=""),"",K284-L284)</f>
        <v/>
      </c>
      <c r="N284" s="25">
        <f>IF(OR($B284="",L284="",L284=0),"",K284/L284)</f>
        <v/>
      </c>
      <c r="O284" s="24">
        <f>IF($B284="","",IF(L284="","אין מצאי",IF(K284&lt;L284,"חוסר",IF(K284&gt;L284,"עודף","תקין"))))</f>
        <v/>
      </c>
      <c r="Q284">
        <f>IF(O284="חוסר",M284-ROW()/100000,IF(O284="עודף",M284+ROW()/100000,""))</f>
        <v/>
      </c>
    </row>
    <row r="285">
      <c r="K285" s="24">
        <f>IF($B285="","",SUM(C285:J285))</f>
        <v/>
      </c>
      <c r="M285" s="24">
        <f>IF(OR($B285="",L285=""),"",K285-L285)</f>
        <v/>
      </c>
      <c r="N285" s="25">
        <f>IF(OR($B285="",L285="",L285=0),"",K285/L285)</f>
        <v/>
      </c>
      <c r="O285" s="24">
        <f>IF($B285="","",IF(L285="","אין מצאי",IF(K285&lt;L285,"חוסר",IF(K285&gt;L285,"עודף","תקין"))))</f>
        <v/>
      </c>
      <c r="Q285">
        <f>IF(O285="חוסר",M285-ROW()/100000,IF(O285="עודף",M285+ROW()/100000,""))</f>
        <v/>
      </c>
    </row>
    <row r="286">
      <c r="K286" s="24">
        <f>IF($B286="","",SUM(C286:J286))</f>
        <v/>
      </c>
      <c r="M286" s="24">
        <f>IF(OR($B286="",L286=""),"",K286-L286)</f>
        <v/>
      </c>
      <c r="N286" s="25">
        <f>IF(OR($B286="",L286="",L286=0),"",K286/L286)</f>
        <v/>
      </c>
      <c r="O286" s="24">
        <f>IF($B286="","",IF(L286="","אין מצאי",IF(K286&lt;L286,"חוסר",IF(K286&gt;L286,"עודף","תקין"))))</f>
        <v/>
      </c>
      <c r="Q286">
        <f>IF(O286="חוסר",M286-ROW()/100000,IF(O286="עודף",M286+ROW()/100000,""))</f>
        <v/>
      </c>
    </row>
    <row r="287">
      <c r="K287" s="24">
        <f>IF($B287="","",SUM(C287:J287))</f>
        <v/>
      </c>
      <c r="M287" s="24">
        <f>IF(OR($B287="",L287=""),"",K287-L287)</f>
        <v/>
      </c>
      <c r="N287" s="25">
        <f>IF(OR($B287="",L287="",L287=0),"",K287/L287)</f>
        <v/>
      </c>
      <c r="O287" s="24">
        <f>IF($B287="","",IF(L287="","אין מצאי",IF(K287&lt;L287,"חוסר",IF(K287&gt;L287,"עודף","תקין"))))</f>
        <v/>
      </c>
      <c r="Q287">
        <f>IF(O287="חוסר",M287-ROW()/100000,IF(O287="עודף",M287+ROW()/100000,""))</f>
        <v/>
      </c>
    </row>
    <row r="288">
      <c r="K288" s="24">
        <f>IF($B288="","",SUM(C288:J288))</f>
        <v/>
      </c>
      <c r="M288" s="24">
        <f>IF(OR($B288="",L288=""),"",K288-L288)</f>
        <v/>
      </c>
      <c r="N288" s="25">
        <f>IF(OR($B288="",L288="",L288=0),"",K288/L288)</f>
        <v/>
      </c>
      <c r="O288" s="24">
        <f>IF($B288="","",IF(L288="","אין מצאי",IF(K288&lt;L288,"חוסר",IF(K288&gt;L288,"עודף","תקין"))))</f>
        <v/>
      </c>
      <c r="Q288">
        <f>IF(O288="חוסר",M288-ROW()/100000,IF(O288="עודף",M288+ROW()/100000,""))</f>
        <v/>
      </c>
    </row>
    <row r="289">
      <c r="K289" s="24">
        <f>IF($B289="","",SUM(C289:J289))</f>
        <v/>
      </c>
      <c r="M289" s="24">
        <f>IF(OR($B289="",L289=""),"",K289-L289)</f>
        <v/>
      </c>
      <c r="N289" s="25">
        <f>IF(OR($B289="",L289="",L289=0),"",K289/L289)</f>
        <v/>
      </c>
      <c r="O289" s="24">
        <f>IF($B289="","",IF(L289="","אין מצאי",IF(K289&lt;L289,"חוסר",IF(K289&gt;L289,"עודף","תקין"))))</f>
        <v/>
      </c>
      <c r="Q289">
        <f>IF(O289="חוסר",M289-ROW()/100000,IF(O289="עודף",M289+ROW()/100000,""))</f>
        <v/>
      </c>
    </row>
    <row r="290">
      <c r="K290" s="24">
        <f>IF($B290="","",SUM(C290:J290))</f>
        <v/>
      </c>
      <c r="M290" s="24">
        <f>IF(OR($B290="",L290=""),"",K290-L290)</f>
        <v/>
      </c>
      <c r="N290" s="25">
        <f>IF(OR($B290="",L290="",L290=0),"",K290/L290)</f>
        <v/>
      </c>
      <c r="O290" s="24">
        <f>IF($B290="","",IF(L290="","אין מצאי",IF(K290&lt;L290,"חוסר",IF(K290&gt;L290,"עודף","תקין"))))</f>
        <v/>
      </c>
      <c r="Q290">
        <f>IF(O290="חוסר",M290-ROW()/100000,IF(O290="עודף",M290+ROW()/100000,""))</f>
        <v/>
      </c>
    </row>
    <row r="291">
      <c r="K291" s="24">
        <f>IF($B291="","",SUM(C291:J291))</f>
        <v/>
      </c>
      <c r="M291" s="24">
        <f>IF(OR($B291="",L291=""),"",K291-L291)</f>
        <v/>
      </c>
      <c r="N291" s="25">
        <f>IF(OR($B291="",L291="",L291=0),"",K291/L291)</f>
        <v/>
      </c>
      <c r="O291" s="24">
        <f>IF($B291="","",IF(L291="","אין מצאי",IF(K291&lt;L291,"חוסר",IF(K291&gt;L291,"עודף","תקין"))))</f>
        <v/>
      </c>
      <c r="Q291">
        <f>IF(O291="חוסר",M291-ROW()/100000,IF(O291="עודף",M291+ROW()/100000,""))</f>
        <v/>
      </c>
    </row>
    <row r="292">
      <c r="K292" s="24">
        <f>IF($B292="","",SUM(C292:J292))</f>
        <v/>
      </c>
      <c r="M292" s="24">
        <f>IF(OR($B292="",L292=""),"",K292-L292)</f>
        <v/>
      </c>
      <c r="N292" s="25">
        <f>IF(OR($B292="",L292="",L292=0),"",K292/L292)</f>
        <v/>
      </c>
      <c r="O292" s="24">
        <f>IF($B292="","",IF(L292="","אין מצאי",IF(K292&lt;L292,"חוסר",IF(K292&gt;L292,"עודף","תקין"))))</f>
        <v/>
      </c>
      <c r="Q292">
        <f>IF(O292="חוסר",M292-ROW()/100000,IF(O292="עודף",M292+ROW()/100000,""))</f>
        <v/>
      </c>
    </row>
    <row r="293">
      <c r="K293" s="24">
        <f>IF($B293="","",SUM(C293:J293))</f>
        <v/>
      </c>
      <c r="M293" s="24">
        <f>IF(OR($B293="",L293=""),"",K293-L293)</f>
        <v/>
      </c>
      <c r="N293" s="25">
        <f>IF(OR($B293="",L293="",L293=0),"",K293/L293)</f>
        <v/>
      </c>
      <c r="O293" s="24">
        <f>IF($B293="","",IF(L293="","אין מצאי",IF(K293&lt;L293,"חוסר",IF(K293&gt;L293,"עודף","תקין"))))</f>
        <v/>
      </c>
      <c r="Q293">
        <f>IF(O293="חוסר",M293-ROW()/100000,IF(O293="עודף",M293+ROW()/100000,""))</f>
        <v/>
      </c>
    </row>
    <row r="294">
      <c r="K294" s="24">
        <f>IF($B294="","",SUM(C294:J294))</f>
        <v/>
      </c>
      <c r="M294" s="24">
        <f>IF(OR($B294="",L294=""),"",K294-L294)</f>
        <v/>
      </c>
      <c r="N294" s="25">
        <f>IF(OR($B294="",L294="",L294=0),"",K294/L294)</f>
        <v/>
      </c>
      <c r="O294" s="24">
        <f>IF($B294="","",IF(L294="","אין מצאי",IF(K294&lt;L294,"חוסר",IF(K294&gt;L294,"עודף","תקין"))))</f>
        <v/>
      </c>
      <c r="Q294">
        <f>IF(O294="חוסר",M294-ROW()/100000,IF(O294="עודף",M294+ROW()/100000,""))</f>
        <v/>
      </c>
    </row>
    <row r="295">
      <c r="K295" s="24">
        <f>IF($B295="","",SUM(C295:J295))</f>
        <v/>
      </c>
      <c r="M295" s="24">
        <f>IF(OR($B295="",L295=""),"",K295-L295)</f>
        <v/>
      </c>
      <c r="N295" s="25">
        <f>IF(OR($B295="",L295="",L295=0),"",K295/L295)</f>
        <v/>
      </c>
      <c r="O295" s="24">
        <f>IF($B295="","",IF(L295="","אין מצאי",IF(K295&lt;L295,"חוסר",IF(K295&gt;L295,"עודף","תקין"))))</f>
        <v/>
      </c>
      <c r="Q295">
        <f>IF(O295="חוסר",M295-ROW()/100000,IF(O295="עודף",M295+ROW()/100000,""))</f>
        <v/>
      </c>
    </row>
    <row r="296">
      <c r="K296" s="24">
        <f>IF($B296="","",SUM(C296:J296))</f>
        <v/>
      </c>
      <c r="M296" s="24">
        <f>IF(OR($B296="",L296=""),"",K296-L296)</f>
        <v/>
      </c>
      <c r="N296" s="25">
        <f>IF(OR($B296="",L296="",L296=0),"",K296/L296)</f>
        <v/>
      </c>
      <c r="O296" s="24">
        <f>IF($B296="","",IF(L296="","אין מצאי",IF(K296&lt;L296,"חוסר",IF(K296&gt;L296,"עודף","תקין"))))</f>
        <v/>
      </c>
      <c r="Q296">
        <f>IF(O296="חוסר",M296-ROW()/100000,IF(O296="עודף",M296+ROW()/100000,""))</f>
        <v/>
      </c>
    </row>
    <row r="297">
      <c r="K297" s="24">
        <f>IF($B297="","",SUM(C297:J297))</f>
        <v/>
      </c>
      <c r="M297" s="24">
        <f>IF(OR($B297="",L297=""),"",K297-L297)</f>
        <v/>
      </c>
      <c r="N297" s="25">
        <f>IF(OR($B297="",L297="",L297=0),"",K297/L297)</f>
        <v/>
      </c>
      <c r="O297" s="24">
        <f>IF($B297="","",IF(L297="","אין מצאי",IF(K297&lt;L297,"חוסר",IF(K297&gt;L297,"עודף","תקין"))))</f>
        <v/>
      </c>
      <c r="Q297">
        <f>IF(O297="חוסר",M297-ROW()/100000,IF(O297="עודף",M297+ROW()/100000,""))</f>
        <v/>
      </c>
    </row>
    <row r="298">
      <c r="K298" s="24">
        <f>IF($B298="","",SUM(C298:J298))</f>
        <v/>
      </c>
      <c r="M298" s="24">
        <f>IF(OR($B298="",L298=""),"",K298-L298)</f>
        <v/>
      </c>
      <c r="N298" s="25">
        <f>IF(OR($B298="",L298="",L298=0),"",K298/L298)</f>
        <v/>
      </c>
      <c r="O298" s="24">
        <f>IF($B298="","",IF(L298="","אין מצאי",IF(K298&lt;L298,"חוסר",IF(K298&gt;L298,"עודף","תקין"))))</f>
        <v/>
      </c>
      <c r="Q298">
        <f>IF(O298="חוסר",M298-ROW()/100000,IF(O298="עודף",M298+ROW()/100000,""))</f>
        <v/>
      </c>
    </row>
    <row r="299">
      <c r="K299" s="24">
        <f>IF($B299="","",SUM(C299:J299))</f>
        <v/>
      </c>
      <c r="M299" s="24">
        <f>IF(OR($B299="",L299=""),"",K299-L299)</f>
        <v/>
      </c>
      <c r="N299" s="25">
        <f>IF(OR($B299="",L299="",L299=0),"",K299/L299)</f>
        <v/>
      </c>
      <c r="O299" s="24">
        <f>IF($B299="","",IF(L299="","אין מצאי",IF(K299&lt;L299,"חוסר",IF(K299&gt;L299,"עודף","תקין"))))</f>
        <v/>
      </c>
      <c r="Q299">
        <f>IF(O299="חוסר",M299-ROW()/100000,IF(O299="עודף",M299+ROW()/100000,""))</f>
        <v/>
      </c>
    </row>
    <row r="300">
      <c r="K300" s="24">
        <f>IF($B300="","",SUM(C300:J300))</f>
        <v/>
      </c>
      <c r="M300" s="24">
        <f>IF(OR($B300="",L300=""),"",K300-L300)</f>
        <v/>
      </c>
      <c r="N300" s="25">
        <f>IF(OR($B300="",L300="",L300=0),"",K300/L300)</f>
        <v/>
      </c>
      <c r="O300" s="24">
        <f>IF($B300="","",IF(L300="","אין מצאי",IF(K300&lt;L300,"חוסר",IF(K300&gt;L300,"עודף","תקין"))))</f>
        <v/>
      </c>
      <c r="Q300">
        <f>IF(O300="חוסר",M300-ROW()/100000,IF(O300="עודף",M300+ROW()/100000,""))</f>
        <v/>
      </c>
    </row>
    <row r="301">
      <c r="K301" s="24">
        <f>IF($B301="","",SUM(C301:J301))</f>
        <v/>
      </c>
      <c r="M301" s="24">
        <f>IF(OR($B301="",L301=""),"",K301-L301)</f>
        <v/>
      </c>
      <c r="N301" s="25">
        <f>IF(OR($B301="",L301="",L301=0),"",K301/L301)</f>
        <v/>
      </c>
      <c r="O301" s="24">
        <f>IF($B301="","",IF(L301="","אין מצאי",IF(K301&lt;L301,"חוסר",IF(K301&gt;L301,"עודף","תקין"))))</f>
        <v/>
      </c>
      <c r="Q301">
        <f>IF(O301="חוסר",M301-ROW()/100000,IF(O301="עודף",M301+ROW()/100000,""))</f>
        <v/>
      </c>
    </row>
    <row r="302">
      <c r="K302" s="24">
        <f>IF($B302="","",SUM(C302:J302))</f>
        <v/>
      </c>
      <c r="M302" s="24">
        <f>IF(OR($B302="",L302=""),"",K302-L302)</f>
        <v/>
      </c>
      <c r="N302" s="25">
        <f>IF(OR($B302="",L302="",L302=0),"",K302/L302)</f>
        <v/>
      </c>
      <c r="O302" s="24">
        <f>IF($B302="","",IF(L302="","אין מצאי",IF(K302&lt;L302,"חוסר",IF(K302&gt;L302,"עודף","תקין"))))</f>
        <v/>
      </c>
      <c r="Q302">
        <f>IF(O302="חוסר",M302-ROW()/100000,IF(O302="עודף",M302+ROW()/100000,""))</f>
        <v/>
      </c>
    </row>
    <row r="303">
      <c r="K303" s="24">
        <f>IF($B303="","",SUM(C303:J303))</f>
        <v/>
      </c>
      <c r="M303" s="24">
        <f>IF(OR($B303="",L303=""),"",K303-L303)</f>
        <v/>
      </c>
      <c r="N303" s="25">
        <f>IF(OR($B303="",L303="",L303=0),"",K303/L303)</f>
        <v/>
      </c>
      <c r="O303" s="24">
        <f>IF($B303="","",IF(L303="","אין מצאי",IF(K303&lt;L303,"חוסר",IF(K303&gt;L303,"עודף","תקין"))))</f>
        <v/>
      </c>
      <c r="Q303">
        <f>IF(O303="חוסר",M303-ROW()/100000,IF(O303="עודף",M303+ROW()/100000,""))</f>
        <v/>
      </c>
    </row>
    <row r="304">
      <c r="K304" s="24">
        <f>IF($B304="","",SUM(C304:J304))</f>
        <v/>
      </c>
      <c r="M304" s="24">
        <f>IF(OR($B304="",L304=""),"",K304-L304)</f>
        <v/>
      </c>
      <c r="N304" s="25">
        <f>IF(OR($B304="",L304="",L304=0),"",K304/L304)</f>
        <v/>
      </c>
      <c r="O304" s="24">
        <f>IF($B304="","",IF(L304="","אין מצאי",IF(K304&lt;L304,"חוסר",IF(K304&gt;L304,"עודף","תקין"))))</f>
        <v/>
      </c>
      <c r="Q304">
        <f>IF(O304="חוסר",M304-ROW()/100000,IF(O304="עודף",M304+ROW()/100000,""))</f>
        <v/>
      </c>
    </row>
    <row r="305">
      <c r="K305" s="24">
        <f>IF($B305="","",SUM(C305:J305))</f>
        <v/>
      </c>
      <c r="M305" s="24">
        <f>IF(OR($B305="",L305=""),"",K305-L305)</f>
        <v/>
      </c>
      <c r="N305" s="25">
        <f>IF(OR($B305="",L305="",L305=0),"",K305/L305)</f>
        <v/>
      </c>
      <c r="O305" s="24">
        <f>IF($B305="","",IF(L305="","אין מצאי",IF(K305&lt;L305,"חוסר",IF(K305&gt;L305,"עודף","תקין"))))</f>
        <v/>
      </c>
      <c r="Q305">
        <f>IF(O305="חוסר",M305-ROW()/100000,IF(O305="עודף",M305+ROW()/100000,""))</f>
        <v/>
      </c>
    </row>
    <row r="306">
      <c r="K306" s="24">
        <f>IF($B306="","",SUM(C306:J306))</f>
        <v/>
      </c>
      <c r="M306" s="24">
        <f>IF(OR($B306="",L306=""),"",K306-L306)</f>
        <v/>
      </c>
      <c r="N306" s="25">
        <f>IF(OR($B306="",L306="",L306=0),"",K306/L306)</f>
        <v/>
      </c>
      <c r="O306" s="24">
        <f>IF($B306="","",IF(L306="","אין מצאי",IF(K306&lt;L306,"חוסר",IF(K306&gt;L306,"עודף","תקין"))))</f>
        <v/>
      </c>
      <c r="Q306">
        <f>IF(O306="חוסר",M306-ROW()/100000,IF(O306="עודף",M306+ROW()/100000,""))</f>
        <v/>
      </c>
    </row>
    <row r="307">
      <c r="K307" s="24">
        <f>IF($B307="","",SUM(C307:J307))</f>
        <v/>
      </c>
      <c r="M307" s="24">
        <f>IF(OR($B307="",L307=""),"",K307-L307)</f>
        <v/>
      </c>
      <c r="N307" s="25">
        <f>IF(OR($B307="",L307="",L307=0),"",K307/L307)</f>
        <v/>
      </c>
      <c r="O307" s="24">
        <f>IF($B307="","",IF(L307="","אין מצאי",IF(K307&lt;L307,"חוסר",IF(K307&gt;L307,"עודף","תקין"))))</f>
        <v/>
      </c>
      <c r="Q307">
        <f>IF(O307="חוסר",M307-ROW()/100000,IF(O307="עודף",M307+ROW()/100000,""))</f>
        <v/>
      </c>
    </row>
    <row r="308">
      <c r="K308" s="24">
        <f>IF($B308="","",SUM(C308:J308))</f>
        <v/>
      </c>
      <c r="M308" s="24">
        <f>IF(OR($B308="",L308=""),"",K308-L308)</f>
        <v/>
      </c>
      <c r="N308" s="25">
        <f>IF(OR($B308="",L308="",L308=0),"",K308/L308)</f>
        <v/>
      </c>
      <c r="O308" s="24">
        <f>IF($B308="","",IF(L308="","אין מצאי",IF(K308&lt;L308,"חוסר",IF(K308&gt;L308,"עודף","תקין"))))</f>
        <v/>
      </c>
      <c r="Q308">
        <f>IF(O308="חוסר",M308-ROW()/100000,IF(O308="עודף",M308+ROW()/100000,""))</f>
        <v/>
      </c>
    </row>
    <row r="309">
      <c r="K309" s="24">
        <f>IF($B309="","",SUM(C309:J309))</f>
        <v/>
      </c>
      <c r="M309" s="24">
        <f>IF(OR($B309="",L309=""),"",K309-L309)</f>
        <v/>
      </c>
      <c r="N309" s="25">
        <f>IF(OR($B309="",L309="",L309=0),"",K309/L309)</f>
        <v/>
      </c>
      <c r="O309" s="24">
        <f>IF($B309="","",IF(L309="","אין מצאי",IF(K309&lt;L309,"חוסר",IF(K309&gt;L309,"עודף","תקין"))))</f>
        <v/>
      </c>
      <c r="Q309">
        <f>IF(O309="חוסר",M309-ROW()/100000,IF(O309="עודף",M309+ROW()/100000,""))</f>
        <v/>
      </c>
    </row>
    <row r="310">
      <c r="K310" s="24">
        <f>IF($B310="","",SUM(C310:J310))</f>
        <v/>
      </c>
      <c r="M310" s="24">
        <f>IF(OR($B310="",L310=""),"",K310-L310)</f>
        <v/>
      </c>
      <c r="N310" s="25">
        <f>IF(OR($B310="",L310="",L310=0),"",K310/L310)</f>
        <v/>
      </c>
      <c r="O310" s="24">
        <f>IF($B310="","",IF(L310="","אין מצאי",IF(K310&lt;L310,"חוסר",IF(K310&gt;L310,"עודף","תקין"))))</f>
        <v/>
      </c>
      <c r="Q310">
        <f>IF(O310="חוסר",M310-ROW()/100000,IF(O310="עודף",M310+ROW()/100000,""))</f>
        <v/>
      </c>
    </row>
    <row r="311">
      <c r="K311" s="24">
        <f>IF($B311="","",SUM(C311:J311))</f>
        <v/>
      </c>
      <c r="M311" s="24">
        <f>IF(OR($B311="",L311=""),"",K311-L311)</f>
        <v/>
      </c>
      <c r="N311" s="25">
        <f>IF(OR($B311="",L311="",L311=0),"",K311/L311)</f>
        <v/>
      </c>
      <c r="O311" s="24">
        <f>IF($B311="","",IF(L311="","אין מצאי",IF(K311&lt;L311,"חוסר",IF(K311&gt;L311,"עודף","תקין"))))</f>
        <v/>
      </c>
      <c r="Q311">
        <f>IF(O311="חוסר",M311-ROW()/100000,IF(O311="עודף",M311+ROW()/100000,""))</f>
        <v/>
      </c>
    </row>
    <row r="312">
      <c r="K312" s="24">
        <f>IF($B312="","",SUM(C312:J312))</f>
        <v/>
      </c>
      <c r="M312" s="24">
        <f>IF(OR($B312="",L312=""),"",K312-L312)</f>
        <v/>
      </c>
      <c r="N312" s="25">
        <f>IF(OR($B312="",L312="",L312=0),"",K312/L312)</f>
        <v/>
      </c>
      <c r="O312" s="24">
        <f>IF($B312="","",IF(L312="","אין מצאי",IF(K312&lt;L312,"חוסר",IF(K312&gt;L312,"עודף","תקין"))))</f>
        <v/>
      </c>
      <c r="Q312">
        <f>IF(O312="חוסר",M312-ROW()/100000,IF(O312="עודף",M312+ROW()/100000,""))</f>
        <v/>
      </c>
    </row>
    <row r="313">
      <c r="K313" s="24">
        <f>IF($B313="","",SUM(C313:J313))</f>
        <v/>
      </c>
      <c r="M313" s="24">
        <f>IF(OR($B313="",L313=""),"",K313-L313)</f>
        <v/>
      </c>
      <c r="N313" s="25">
        <f>IF(OR($B313="",L313="",L313=0),"",K313/L313)</f>
        <v/>
      </c>
      <c r="O313" s="24">
        <f>IF($B313="","",IF(L313="","אין מצאי",IF(K313&lt;L313,"חוסר",IF(K313&gt;L313,"עודף","תקין"))))</f>
        <v/>
      </c>
      <c r="Q313">
        <f>IF(O313="חוסר",M313-ROW()/100000,IF(O313="עודף",M313+ROW()/100000,""))</f>
        <v/>
      </c>
    </row>
    <row r="314">
      <c r="K314" s="24">
        <f>IF($B314="","",SUM(C314:J314))</f>
        <v/>
      </c>
      <c r="M314" s="24">
        <f>IF(OR($B314="",L314=""),"",K314-L314)</f>
        <v/>
      </c>
      <c r="N314" s="25">
        <f>IF(OR($B314="",L314="",L314=0),"",K314/L314)</f>
        <v/>
      </c>
      <c r="O314" s="24">
        <f>IF($B314="","",IF(L314="","אין מצאי",IF(K314&lt;L314,"חוסר",IF(K314&gt;L314,"עודף","תקין"))))</f>
        <v/>
      </c>
      <c r="Q314">
        <f>IF(O314="חוסר",M314-ROW()/100000,IF(O314="עודף",M314+ROW()/100000,""))</f>
        <v/>
      </c>
    </row>
    <row r="315">
      <c r="K315" s="24">
        <f>IF($B315="","",SUM(C315:J315))</f>
        <v/>
      </c>
      <c r="M315" s="24">
        <f>IF(OR($B315="",L315=""),"",K315-L315)</f>
        <v/>
      </c>
      <c r="N315" s="25">
        <f>IF(OR($B315="",L315="",L315=0),"",K315/L315)</f>
        <v/>
      </c>
      <c r="O315" s="24">
        <f>IF($B315="","",IF(L315="","אין מצאי",IF(K315&lt;L315,"חוסר",IF(K315&gt;L315,"עודף","תקין"))))</f>
        <v/>
      </c>
      <c r="Q315">
        <f>IF(O315="חוסר",M315-ROW()/100000,IF(O315="עודף",M315+ROW()/100000,""))</f>
        <v/>
      </c>
    </row>
    <row r="316">
      <c r="K316" s="24">
        <f>IF($B316="","",SUM(C316:J316))</f>
        <v/>
      </c>
      <c r="M316" s="24">
        <f>IF(OR($B316="",L316=""),"",K316-L316)</f>
        <v/>
      </c>
      <c r="N316" s="25">
        <f>IF(OR($B316="",L316="",L316=0),"",K316/L316)</f>
        <v/>
      </c>
      <c r="O316" s="24">
        <f>IF($B316="","",IF(L316="","אין מצאי",IF(K316&lt;L316,"חוסר",IF(K316&gt;L316,"עודף","תקין"))))</f>
        <v/>
      </c>
      <c r="Q316">
        <f>IF(O316="חוסר",M316-ROW()/100000,IF(O316="עודף",M316+ROW()/100000,""))</f>
        <v/>
      </c>
    </row>
    <row r="317">
      <c r="K317" s="24">
        <f>IF($B317="","",SUM(C317:J317))</f>
        <v/>
      </c>
      <c r="M317" s="24">
        <f>IF(OR($B317="",L317=""),"",K317-L317)</f>
        <v/>
      </c>
      <c r="N317" s="25">
        <f>IF(OR($B317="",L317="",L317=0),"",K317/L317)</f>
        <v/>
      </c>
      <c r="O317" s="24">
        <f>IF($B317="","",IF(L317="","אין מצאי",IF(K317&lt;L317,"חוסר",IF(K317&gt;L317,"עודף","תקין"))))</f>
        <v/>
      </c>
      <c r="Q317">
        <f>IF(O317="חוסר",M317-ROW()/100000,IF(O317="עודף",M317+ROW()/100000,""))</f>
        <v/>
      </c>
    </row>
    <row r="318">
      <c r="K318" s="24">
        <f>IF($B318="","",SUM(C318:J318))</f>
        <v/>
      </c>
      <c r="M318" s="24">
        <f>IF(OR($B318="",L318=""),"",K318-L318)</f>
        <v/>
      </c>
      <c r="N318" s="25">
        <f>IF(OR($B318="",L318="",L318=0),"",K318/L318)</f>
        <v/>
      </c>
      <c r="O318" s="24">
        <f>IF($B318="","",IF(L318="","אין מצאי",IF(K318&lt;L318,"חוסר",IF(K318&gt;L318,"עודף","תקין"))))</f>
        <v/>
      </c>
      <c r="Q318">
        <f>IF(O318="חוסר",M318-ROW()/100000,IF(O318="עודף",M318+ROW()/100000,""))</f>
        <v/>
      </c>
    </row>
    <row r="319">
      <c r="K319" s="24">
        <f>IF($B319="","",SUM(C319:J319))</f>
        <v/>
      </c>
      <c r="M319" s="24">
        <f>IF(OR($B319="",L319=""),"",K319-L319)</f>
        <v/>
      </c>
      <c r="N319" s="25">
        <f>IF(OR($B319="",L319="",L319=0),"",K319/L319)</f>
        <v/>
      </c>
      <c r="O319" s="24">
        <f>IF($B319="","",IF(L319="","אין מצאי",IF(K319&lt;L319,"חוסר",IF(K319&gt;L319,"עודף","תקין"))))</f>
        <v/>
      </c>
      <c r="Q319">
        <f>IF(O319="חוסר",M319-ROW()/100000,IF(O319="עודף",M319+ROW()/100000,""))</f>
        <v/>
      </c>
    </row>
    <row r="320">
      <c r="K320" s="24">
        <f>IF($B320="","",SUM(C320:J320))</f>
        <v/>
      </c>
      <c r="M320" s="24">
        <f>IF(OR($B320="",L320=""),"",K320-L320)</f>
        <v/>
      </c>
      <c r="N320" s="25">
        <f>IF(OR($B320="",L320="",L320=0),"",K320/L320)</f>
        <v/>
      </c>
      <c r="O320" s="24">
        <f>IF($B320="","",IF(L320="","אין מצאי",IF(K320&lt;L320,"חוסר",IF(K320&gt;L320,"עודף","תקין"))))</f>
        <v/>
      </c>
      <c r="Q320">
        <f>IF(O320="חוסר",M320-ROW()/100000,IF(O320="עודף",M320+ROW()/100000,""))</f>
        <v/>
      </c>
    </row>
    <row r="321">
      <c r="K321" s="24">
        <f>IF($B321="","",SUM(C321:J321))</f>
        <v/>
      </c>
      <c r="M321" s="24">
        <f>IF(OR($B321="",L321=""),"",K321-L321)</f>
        <v/>
      </c>
      <c r="N321" s="25">
        <f>IF(OR($B321="",L321="",L321=0),"",K321/L321)</f>
        <v/>
      </c>
      <c r="O321" s="24">
        <f>IF($B321="","",IF(L321="","אין מצאי",IF(K321&lt;L321,"חוסר",IF(K321&gt;L321,"עודף","תקין"))))</f>
        <v/>
      </c>
      <c r="Q321">
        <f>IF(O321="חוסר",M321-ROW()/100000,IF(O321="עודף",M321+ROW()/100000,""))</f>
        <v/>
      </c>
    </row>
    <row r="322">
      <c r="K322" s="24">
        <f>IF($B322="","",SUM(C322:J322))</f>
        <v/>
      </c>
      <c r="M322" s="24">
        <f>IF(OR($B322="",L322=""),"",K322-L322)</f>
        <v/>
      </c>
      <c r="N322" s="25">
        <f>IF(OR($B322="",L322="",L322=0),"",K322/L322)</f>
        <v/>
      </c>
      <c r="O322" s="24">
        <f>IF($B322="","",IF(L322="","אין מצאי",IF(K322&lt;L322,"חוסר",IF(K322&gt;L322,"עודף","תקין"))))</f>
        <v/>
      </c>
      <c r="Q322">
        <f>IF(O322="חוסר",M322-ROW()/100000,IF(O322="עודף",M322+ROW()/100000,""))</f>
        <v/>
      </c>
    </row>
    <row r="323">
      <c r="K323" s="24">
        <f>IF($B323="","",SUM(C323:J323))</f>
        <v/>
      </c>
      <c r="M323" s="24">
        <f>IF(OR($B323="",L323=""),"",K323-L323)</f>
        <v/>
      </c>
      <c r="N323" s="25">
        <f>IF(OR($B323="",L323="",L323=0),"",K323/L323)</f>
        <v/>
      </c>
      <c r="O323" s="24">
        <f>IF($B323="","",IF(L323="","אין מצאי",IF(K323&lt;L323,"חוסר",IF(K323&gt;L323,"עודף","תקין"))))</f>
        <v/>
      </c>
      <c r="Q323">
        <f>IF(O323="חוסר",M323-ROW()/100000,IF(O323="עודף",M323+ROW()/100000,""))</f>
        <v/>
      </c>
    </row>
    <row r="324">
      <c r="K324" s="24">
        <f>IF($B324="","",SUM(C324:J324))</f>
        <v/>
      </c>
      <c r="M324" s="24">
        <f>IF(OR($B324="",L324=""),"",K324-L324)</f>
        <v/>
      </c>
      <c r="N324" s="25">
        <f>IF(OR($B324="",L324="",L324=0),"",K324/L324)</f>
        <v/>
      </c>
      <c r="O324" s="24">
        <f>IF($B324="","",IF(L324="","אין מצאי",IF(K324&lt;L324,"חוסר",IF(K324&gt;L324,"עודף","תקין"))))</f>
        <v/>
      </c>
      <c r="Q324">
        <f>IF(O324="חוסר",M324-ROW()/100000,IF(O324="עודף",M324+ROW()/100000,""))</f>
        <v/>
      </c>
    </row>
    <row r="325">
      <c r="K325" s="24">
        <f>IF($B325="","",SUM(C325:J325))</f>
        <v/>
      </c>
      <c r="M325" s="24">
        <f>IF(OR($B325="",L325=""),"",K325-L325)</f>
        <v/>
      </c>
      <c r="N325" s="25">
        <f>IF(OR($B325="",L325="",L325=0),"",K325/L325)</f>
        <v/>
      </c>
      <c r="O325" s="24">
        <f>IF($B325="","",IF(L325="","אין מצאי",IF(K325&lt;L325,"חוסר",IF(K325&gt;L325,"עודף","תקין"))))</f>
        <v/>
      </c>
      <c r="Q325">
        <f>IF(O325="חוסר",M325-ROW()/100000,IF(O325="עודף",M325+ROW()/100000,""))</f>
        <v/>
      </c>
    </row>
    <row r="326">
      <c r="K326" s="24">
        <f>IF($B326="","",SUM(C326:J326))</f>
        <v/>
      </c>
      <c r="M326" s="24">
        <f>IF(OR($B326="",L326=""),"",K326-L326)</f>
        <v/>
      </c>
      <c r="N326" s="25">
        <f>IF(OR($B326="",L326="",L326=0),"",K326/L326)</f>
        <v/>
      </c>
      <c r="O326" s="24">
        <f>IF($B326="","",IF(L326="","אין מצאי",IF(K326&lt;L326,"חוסר",IF(K326&gt;L326,"עודף","תקין"))))</f>
        <v/>
      </c>
      <c r="Q326">
        <f>IF(O326="חוסר",M326-ROW()/100000,IF(O326="עודף",M326+ROW()/100000,""))</f>
        <v/>
      </c>
    </row>
    <row r="327">
      <c r="K327" s="24">
        <f>IF($B327="","",SUM(C327:J327))</f>
        <v/>
      </c>
      <c r="M327" s="24">
        <f>IF(OR($B327="",L327=""),"",K327-L327)</f>
        <v/>
      </c>
      <c r="N327" s="25">
        <f>IF(OR($B327="",L327="",L327=0),"",K327/L327)</f>
        <v/>
      </c>
      <c r="O327" s="24">
        <f>IF($B327="","",IF(L327="","אין מצאי",IF(K327&lt;L327,"חוסר",IF(K327&gt;L327,"עודף","תקין"))))</f>
        <v/>
      </c>
      <c r="Q327">
        <f>IF(O327="חוסר",M327-ROW()/100000,IF(O327="עודף",M327+ROW()/100000,""))</f>
        <v/>
      </c>
    </row>
    <row r="328">
      <c r="K328" s="24">
        <f>IF($B328="","",SUM(C328:J328))</f>
        <v/>
      </c>
      <c r="M328" s="24">
        <f>IF(OR($B328="",L328=""),"",K328-L328)</f>
        <v/>
      </c>
      <c r="N328" s="25">
        <f>IF(OR($B328="",L328="",L328=0),"",K328/L328)</f>
        <v/>
      </c>
      <c r="O328" s="24">
        <f>IF($B328="","",IF(L328="","אין מצאי",IF(K328&lt;L328,"חוסר",IF(K328&gt;L328,"עודף","תקין"))))</f>
        <v/>
      </c>
      <c r="Q328">
        <f>IF(O328="חוסר",M328-ROW()/100000,IF(O328="עודף",M328+ROW()/100000,""))</f>
        <v/>
      </c>
    </row>
    <row r="329">
      <c r="K329" s="24">
        <f>IF($B329="","",SUM(C329:J329))</f>
        <v/>
      </c>
      <c r="M329" s="24">
        <f>IF(OR($B329="",L329=""),"",K329-L329)</f>
        <v/>
      </c>
      <c r="N329" s="25">
        <f>IF(OR($B329="",L329="",L329=0),"",K329/L329)</f>
        <v/>
      </c>
      <c r="O329" s="24">
        <f>IF($B329="","",IF(L329="","אין מצאי",IF(K329&lt;L329,"חוסר",IF(K329&gt;L329,"עודף","תקין"))))</f>
        <v/>
      </c>
      <c r="Q329">
        <f>IF(O329="חוסר",M329-ROW()/100000,IF(O329="עודף",M329+ROW()/100000,""))</f>
        <v/>
      </c>
    </row>
    <row r="330">
      <c r="K330" s="24">
        <f>IF($B330="","",SUM(C330:J330))</f>
        <v/>
      </c>
      <c r="M330" s="24">
        <f>IF(OR($B330="",L330=""),"",K330-L330)</f>
        <v/>
      </c>
      <c r="N330" s="25">
        <f>IF(OR($B330="",L330="",L330=0),"",K330/L330)</f>
        <v/>
      </c>
      <c r="O330" s="24">
        <f>IF($B330="","",IF(L330="","אין מצאי",IF(K330&lt;L330,"חוסר",IF(K330&gt;L330,"עודף","תקין"))))</f>
        <v/>
      </c>
      <c r="Q330">
        <f>IF(O330="חוסר",M330-ROW()/100000,IF(O330="עודף",M330+ROW()/100000,""))</f>
        <v/>
      </c>
    </row>
    <row r="331">
      <c r="K331" s="24">
        <f>IF($B331="","",SUM(C331:J331))</f>
        <v/>
      </c>
      <c r="M331" s="24">
        <f>IF(OR($B331="",L331=""),"",K331-L331)</f>
        <v/>
      </c>
      <c r="N331" s="25">
        <f>IF(OR($B331="",L331="",L331=0),"",K331/L331)</f>
        <v/>
      </c>
      <c r="O331" s="24">
        <f>IF($B331="","",IF(L331="","אין מצאי",IF(K331&lt;L331,"חוסר",IF(K331&gt;L331,"עודף","תקין"))))</f>
        <v/>
      </c>
      <c r="Q331">
        <f>IF(O331="חוסר",M331-ROW()/100000,IF(O331="עודף",M331+ROW()/100000,""))</f>
        <v/>
      </c>
    </row>
    <row r="332">
      <c r="K332" s="24">
        <f>IF($B332="","",SUM(C332:J332))</f>
        <v/>
      </c>
      <c r="M332" s="24">
        <f>IF(OR($B332="",L332=""),"",K332-L332)</f>
        <v/>
      </c>
      <c r="N332" s="25">
        <f>IF(OR($B332="",L332="",L332=0),"",K332/L332)</f>
        <v/>
      </c>
      <c r="O332" s="24">
        <f>IF($B332="","",IF(L332="","אין מצאי",IF(K332&lt;L332,"חוסר",IF(K332&gt;L332,"עודף","תקין"))))</f>
        <v/>
      </c>
      <c r="Q332">
        <f>IF(O332="חוסר",M332-ROW()/100000,IF(O332="עודף",M332+ROW()/100000,""))</f>
        <v/>
      </c>
    </row>
    <row r="333">
      <c r="K333" s="24">
        <f>IF($B333="","",SUM(C333:J333))</f>
        <v/>
      </c>
      <c r="M333" s="24">
        <f>IF(OR($B333="",L333=""),"",K333-L333)</f>
        <v/>
      </c>
      <c r="N333" s="25">
        <f>IF(OR($B333="",L333="",L333=0),"",K333/L333)</f>
        <v/>
      </c>
      <c r="O333" s="24">
        <f>IF($B333="","",IF(L333="","אין מצאי",IF(K333&lt;L333,"חוסר",IF(K333&gt;L333,"עודף","תקין"))))</f>
        <v/>
      </c>
      <c r="Q333">
        <f>IF(O333="חוסר",M333-ROW()/100000,IF(O333="עודף",M333+ROW()/100000,""))</f>
        <v/>
      </c>
    </row>
    <row r="334">
      <c r="K334" s="24">
        <f>IF($B334="","",SUM(C334:J334))</f>
        <v/>
      </c>
      <c r="M334" s="24">
        <f>IF(OR($B334="",L334=""),"",K334-L334)</f>
        <v/>
      </c>
      <c r="N334" s="25">
        <f>IF(OR($B334="",L334="",L334=0),"",K334/L334)</f>
        <v/>
      </c>
      <c r="O334" s="24">
        <f>IF($B334="","",IF(L334="","אין מצאי",IF(K334&lt;L334,"חוסר",IF(K334&gt;L334,"עודף","תקין"))))</f>
        <v/>
      </c>
      <c r="Q334">
        <f>IF(O334="חוסר",M334-ROW()/100000,IF(O334="עודף",M334+ROW()/100000,""))</f>
        <v/>
      </c>
    </row>
    <row r="335">
      <c r="K335" s="24">
        <f>IF($B335="","",SUM(C335:J335))</f>
        <v/>
      </c>
      <c r="M335" s="24">
        <f>IF(OR($B335="",L335=""),"",K335-L335)</f>
        <v/>
      </c>
      <c r="N335" s="25">
        <f>IF(OR($B335="",L335="",L335=0),"",K335/L335)</f>
        <v/>
      </c>
      <c r="O335" s="24">
        <f>IF($B335="","",IF(L335="","אין מצאי",IF(K335&lt;L335,"חוסר",IF(K335&gt;L335,"עודף","תקין"))))</f>
        <v/>
      </c>
      <c r="Q335">
        <f>IF(O335="חוסר",M335-ROW()/100000,IF(O335="עודף",M335+ROW()/100000,""))</f>
        <v/>
      </c>
    </row>
    <row r="336">
      <c r="K336" s="24">
        <f>IF($B336="","",SUM(C336:J336))</f>
        <v/>
      </c>
      <c r="M336" s="24">
        <f>IF(OR($B336="",L336=""),"",K336-L336)</f>
        <v/>
      </c>
      <c r="N336" s="25">
        <f>IF(OR($B336="",L336="",L336=0),"",K336/L336)</f>
        <v/>
      </c>
      <c r="O336" s="24">
        <f>IF($B336="","",IF(L336="","אין מצאי",IF(K336&lt;L336,"חוסר",IF(K336&gt;L336,"עודף","תקין"))))</f>
        <v/>
      </c>
      <c r="Q336">
        <f>IF(O336="חוסר",M336-ROW()/100000,IF(O336="עודף",M336+ROW()/100000,""))</f>
        <v/>
      </c>
    </row>
    <row r="337">
      <c r="K337" s="24">
        <f>IF($B337="","",SUM(C337:J337))</f>
        <v/>
      </c>
      <c r="M337" s="24">
        <f>IF(OR($B337="",L337=""),"",K337-L337)</f>
        <v/>
      </c>
      <c r="N337" s="25">
        <f>IF(OR($B337="",L337="",L337=0),"",K337/L337)</f>
        <v/>
      </c>
      <c r="O337" s="24">
        <f>IF($B337="","",IF(L337="","אין מצאי",IF(K337&lt;L337,"חוסר",IF(K337&gt;L337,"עודף","תקין"))))</f>
        <v/>
      </c>
      <c r="Q337">
        <f>IF(O337="חוסר",M337-ROW()/100000,IF(O337="עודף",M337+ROW()/100000,""))</f>
        <v/>
      </c>
    </row>
    <row r="338">
      <c r="K338" s="24">
        <f>IF($B338="","",SUM(C338:J338))</f>
        <v/>
      </c>
      <c r="M338" s="24">
        <f>IF(OR($B338="",L338=""),"",K338-L338)</f>
        <v/>
      </c>
      <c r="N338" s="25">
        <f>IF(OR($B338="",L338="",L338=0),"",K338/L338)</f>
        <v/>
      </c>
      <c r="O338" s="24">
        <f>IF($B338="","",IF(L338="","אין מצאי",IF(K338&lt;L338,"חוסר",IF(K338&gt;L338,"עודף","תקין"))))</f>
        <v/>
      </c>
      <c r="Q338">
        <f>IF(O338="חוסר",M338-ROW()/100000,IF(O338="עודף",M338+ROW()/100000,""))</f>
        <v/>
      </c>
    </row>
    <row r="339">
      <c r="K339" s="24">
        <f>IF($B339="","",SUM(C339:J339))</f>
        <v/>
      </c>
      <c r="M339" s="24">
        <f>IF(OR($B339="",L339=""),"",K339-L339)</f>
        <v/>
      </c>
      <c r="N339" s="25">
        <f>IF(OR($B339="",L339="",L339=0),"",K339/L339)</f>
        <v/>
      </c>
      <c r="O339" s="24">
        <f>IF($B339="","",IF(L339="","אין מצאי",IF(K339&lt;L339,"חוסר",IF(K339&gt;L339,"עודף","תקין"))))</f>
        <v/>
      </c>
      <c r="Q339">
        <f>IF(O339="חוסר",M339-ROW()/100000,IF(O339="עודף",M339+ROW()/100000,""))</f>
        <v/>
      </c>
    </row>
    <row r="340">
      <c r="K340" s="24">
        <f>IF($B340="","",SUM(C340:J340))</f>
        <v/>
      </c>
      <c r="M340" s="24">
        <f>IF(OR($B340="",L340=""),"",K340-L340)</f>
        <v/>
      </c>
      <c r="N340" s="25">
        <f>IF(OR($B340="",L340="",L340=0),"",K340/L340)</f>
        <v/>
      </c>
      <c r="O340" s="24">
        <f>IF($B340="","",IF(L340="","אין מצאי",IF(K340&lt;L340,"חוסר",IF(K340&gt;L340,"עודף","תקין"))))</f>
        <v/>
      </c>
      <c r="Q340">
        <f>IF(O340="חוסר",M340-ROW()/100000,IF(O340="עודף",M340+ROW()/100000,""))</f>
        <v/>
      </c>
    </row>
    <row r="341">
      <c r="K341" s="24">
        <f>IF($B341="","",SUM(C341:J341))</f>
        <v/>
      </c>
      <c r="M341" s="24">
        <f>IF(OR($B341="",L341=""),"",K341-L341)</f>
        <v/>
      </c>
      <c r="N341" s="25">
        <f>IF(OR($B341="",L341="",L341=0),"",K341/L341)</f>
        <v/>
      </c>
      <c r="O341" s="24">
        <f>IF($B341="","",IF(L341="","אין מצאי",IF(K341&lt;L341,"חוסר",IF(K341&gt;L341,"עודף","תקין"))))</f>
        <v/>
      </c>
      <c r="Q341">
        <f>IF(O341="חוסר",M341-ROW()/100000,IF(O341="עודף",M341+ROW()/100000,""))</f>
        <v/>
      </c>
    </row>
    <row r="342">
      <c r="K342" s="24">
        <f>IF($B342="","",SUM(C342:J342))</f>
        <v/>
      </c>
      <c r="M342" s="24">
        <f>IF(OR($B342="",L342=""),"",K342-L342)</f>
        <v/>
      </c>
      <c r="N342" s="25">
        <f>IF(OR($B342="",L342="",L342=0),"",K342/L342)</f>
        <v/>
      </c>
      <c r="O342" s="24">
        <f>IF($B342="","",IF(L342="","אין מצאי",IF(K342&lt;L342,"חוסר",IF(K342&gt;L342,"עודף","תקין"))))</f>
        <v/>
      </c>
      <c r="Q342">
        <f>IF(O342="חוסר",M342-ROW()/100000,IF(O342="עודף",M342+ROW()/100000,""))</f>
        <v/>
      </c>
    </row>
    <row r="343">
      <c r="K343" s="24">
        <f>IF($B343="","",SUM(C343:J343))</f>
        <v/>
      </c>
      <c r="M343" s="24">
        <f>IF(OR($B343="",L343=""),"",K343-L343)</f>
        <v/>
      </c>
      <c r="N343" s="25">
        <f>IF(OR($B343="",L343="",L343=0),"",K343/L343)</f>
        <v/>
      </c>
      <c r="O343" s="24">
        <f>IF($B343="","",IF(L343="","אין מצאי",IF(K343&lt;L343,"חוסר",IF(K343&gt;L343,"עודף","תקין"))))</f>
        <v/>
      </c>
      <c r="Q343">
        <f>IF(O343="חוסר",M343-ROW()/100000,IF(O343="עודף",M343+ROW()/100000,""))</f>
        <v/>
      </c>
    </row>
    <row r="344">
      <c r="K344" s="24">
        <f>IF($B344="","",SUM(C344:J344))</f>
        <v/>
      </c>
      <c r="M344" s="24">
        <f>IF(OR($B344="",L344=""),"",K344-L344)</f>
        <v/>
      </c>
      <c r="N344" s="25">
        <f>IF(OR($B344="",L344="",L344=0),"",K344/L344)</f>
        <v/>
      </c>
      <c r="O344" s="24">
        <f>IF($B344="","",IF(L344="","אין מצאי",IF(K344&lt;L344,"חוסר",IF(K344&gt;L344,"עודף","תקין"))))</f>
        <v/>
      </c>
      <c r="Q344">
        <f>IF(O344="חוסר",M344-ROW()/100000,IF(O344="עודף",M344+ROW()/100000,""))</f>
        <v/>
      </c>
    </row>
    <row r="345">
      <c r="K345" s="24">
        <f>IF($B345="","",SUM(C345:J345))</f>
        <v/>
      </c>
      <c r="M345" s="24">
        <f>IF(OR($B345="",L345=""),"",K345-L345)</f>
        <v/>
      </c>
      <c r="N345" s="25">
        <f>IF(OR($B345="",L345="",L345=0),"",K345/L345)</f>
        <v/>
      </c>
      <c r="O345" s="24">
        <f>IF($B345="","",IF(L345="","אין מצאי",IF(K345&lt;L345,"חוסר",IF(K345&gt;L345,"עודף","תקין"))))</f>
        <v/>
      </c>
      <c r="Q345">
        <f>IF(O345="חוסר",M345-ROW()/100000,IF(O345="עודף",M345+ROW()/100000,""))</f>
        <v/>
      </c>
    </row>
    <row r="346">
      <c r="K346" s="24">
        <f>IF($B346="","",SUM(C346:J346))</f>
        <v/>
      </c>
      <c r="M346" s="24">
        <f>IF(OR($B346="",L346=""),"",K346-L346)</f>
        <v/>
      </c>
      <c r="N346" s="25">
        <f>IF(OR($B346="",L346="",L346=0),"",K346/L346)</f>
        <v/>
      </c>
      <c r="O346" s="24">
        <f>IF($B346="","",IF(L346="","אין מצאי",IF(K346&lt;L346,"חוסר",IF(K346&gt;L346,"עודף","תקין"))))</f>
        <v/>
      </c>
      <c r="Q346">
        <f>IF(O346="חוסר",M346-ROW()/100000,IF(O346="עודף",M346+ROW()/100000,""))</f>
        <v/>
      </c>
    </row>
    <row r="347">
      <c r="K347" s="24">
        <f>IF($B347="","",SUM(C347:J347))</f>
        <v/>
      </c>
      <c r="M347" s="24">
        <f>IF(OR($B347="",L347=""),"",K347-L347)</f>
        <v/>
      </c>
      <c r="N347" s="25">
        <f>IF(OR($B347="",L347="",L347=0),"",K347/L347)</f>
        <v/>
      </c>
      <c r="O347" s="24">
        <f>IF($B347="","",IF(L347="","אין מצאי",IF(K347&lt;L347,"חוסר",IF(K347&gt;L347,"עודף","תקין"))))</f>
        <v/>
      </c>
      <c r="Q347">
        <f>IF(O347="חוסר",M347-ROW()/100000,IF(O347="עודף",M347+ROW()/100000,""))</f>
        <v/>
      </c>
    </row>
    <row r="348">
      <c r="K348" s="24">
        <f>IF($B348="","",SUM(C348:J348))</f>
        <v/>
      </c>
      <c r="M348" s="24">
        <f>IF(OR($B348="",L348=""),"",K348-L348)</f>
        <v/>
      </c>
      <c r="N348" s="25">
        <f>IF(OR($B348="",L348="",L348=0),"",K348/L348)</f>
        <v/>
      </c>
      <c r="O348" s="24">
        <f>IF($B348="","",IF(L348="","אין מצאי",IF(K348&lt;L348,"חוסר",IF(K348&gt;L348,"עודף","תקין"))))</f>
        <v/>
      </c>
      <c r="Q348">
        <f>IF(O348="חוסר",M348-ROW()/100000,IF(O348="עודף",M348+ROW()/100000,""))</f>
        <v/>
      </c>
    </row>
    <row r="349">
      <c r="K349" s="24">
        <f>IF($B349="","",SUM(C349:J349))</f>
        <v/>
      </c>
      <c r="M349" s="24">
        <f>IF(OR($B349="",L349=""),"",K349-L349)</f>
        <v/>
      </c>
      <c r="N349" s="25">
        <f>IF(OR($B349="",L349="",L349=0),"",K349/L349)</f>
        <v/>
      </c>
      <c r="O349" s="24">
        <f>IF($B349="","",IF(L349="","אין מצאי",IF(K349&lt;L349,"חוסר",IF(K349&gt;L349,"עודף","תקין"))))</f>
        <v/>
      </c>
      <c r="Q349">
        <f>IF(O349="חוסר",M349-ROW()/100000,IF(O349="עודף",M349+ROW()/100000,""))</f>
        <v/>
      </c>
    </row>
    <row r="350">
      <c r="K350" s="24">
        <f>IF($B350="","",SUM(C350:J350))</f>
        <v/>
      </c>
      <c r="M350" s="24">
        <f>IF(OR($B350="",L350=""),"",K350-L350)</f>
        <v/>
      </c>
      <c r="N350" s="25">
        <f>IF(OR($B350="",L350="",L350=0),"",K350/L350)</f>
        <v/>
      </c>
      <c r="O350" s="24">
        <f>IF($B350="","",IF(L350="","אין מצאי",IF(K350&lt;L350,"חוסר",IF(K350&gt;L350,"עודף","תקין"))))</f>
        <v/>
      </c>
      <c r="Q350">
        <f>IF(O350="חוסר",M350-ROW()/100000,IF(O350="עודף",M350+ROW()/100000,""))</f>
        <v/>
      </c>
    </row>
    <row r="351">
      <c r="K351" s="24">
        <f>IF($B351="","",SUM(C351:J351))</f>
        <v/>
      </c>
      <c r="M351" s="24">
        <f>IF(OR($B351="",L351=""),"",K351-L351)</f>
        <v/>
      </c>
      <c r="N351" s="25">
        <f>IF(OR($B351="",L351="",L351=0),"",K351/L351)</f>
        <v/>
      </c>
      <c r="O351" s="24">
        <f>IF($B351="","",IF(L351="","אין מצאי",IF(K351&lt;L351,"חוסר",IF(K351&gt;L351,"עודף","תקין"))))</f>
        <v/>
      </c>
      <c r="Q351">
        <f>IF(O351="חוסר",M351-ROW()/100000,IF(O351="עודף",M351+ROW()/100000,""))</f>
        <v/>
      </c>
    </row>
    <row r="352">
      <c r="K352" s="24">
        <f>IF($B352="","",SUM(C352:J352))</f>
        <v/>
      </c>
      <c r="M352" s="24">
        <f>IF(OR($B352="",L352=""),"",K352-L352)</f>
        <v/>
      </c>
      <c r="N352" s="25">
        <f>IF(OR($B352="",L352="",L352=0),"",K352/L352)</f>
        <v/>
      </c>
      <c r="O352" s="24">
        <f>IF($B352="","",IF(L352="","אין מצאי",IF(K352&lt;L352,"חוסר",IF(K352&gt;L352,"עודף","תקין"))))</f>
        <v/>
      </c>
      <c r="Q352">
        <f>IF(O352="חוסר",M352-ROW()/100000,IF(O352="עודף",M352+ROW()/100000,""))</f>
        <v/>
      </c>
    </row>
    <row r="353">
      <c r="K353" s="24">
        <f>IF($B353="","",SUM(C353:J353))</f>
        <v/>
      </c>
      <c r="M353" s="24">
        <f>IF(OR($B353="",L353=""),"",K353-L353)</f>
        <v/>
      </c>
      <c r="N353" s="25">
        <f>IF(OR($B353="",L353="",L353=0),"",K353/L353)</f>
        <v/>
      </c>
      <c r="O353" s="24">
        <f>IF($B353="","",IF(L353="","אין מצאי",IF(K353&lt;L353,"חוסר",IF(K353&gt;L353,"עודף","תקין"))))</f>
        <v/>
      </c>
      <c r="Q353">
        <f>IF(O353="חוסר",M353-ROW()/100000,IF(O353="עודף",M353+ROW()/100000,""))</f>
        <v/>
      </c>
    </row>
    <row r="354">
      <c r="K354" s="24">
        <f>IF($B354="","",SUM(C354:J354))</f>
        <v/>
      </c>
      <c r="M354" s="24">
        <f>IF(OR($B354="",L354=""),"",K354-L354)</f>
        <v/>
      </c>
      <c r="N354" s="25">
        <f>IF(OR($B354="",L354="",L354=0),"",K354/L354)</f>
        <v/>
      </c>
      <c r="O354" s="24">
        <f>IF($B354="","",IF(L354="","אין מצאי",IF(K354&lt;L354,"חוסר",IF(K354&gt;L354,"עודף","תקין"))))</f>
        <v/>
      </c>
      <c r="Q354">
        <f>IF(O354="חוסר",M354-ROW()/100000,IF(O354="עודף",M354+ROW()/100000,""))</f>
        <v/>
      </c>
    </row>
    <row r="355">
      <c r="K355" s="24">
        <f>IF($B355="","",SUM(C355:J355))</f>
        <v/>
      </c>
      <c r="M355" s="24">
        <f>IF(OR($B355="",L355=""),"",K355-L355)</f>
        <v/>
      </c>
      <c r="N355" s="25">
        <f>IF(OR($B355="",L355="",L355=0),"",K355/L355)</f>
        <v/>
      </c>
      <c r="O355" s="24">
        <f>IF($B355="","",IF(L355="","אין מצאי",IF(K355&lt;L355,"חוסר",IF(K355&gt;L355,"עודף","תקין"))))</f>
        <v/>
      </c>
      <c r="Q355">
        <f>IF(O355="חוסר",M355-ROW()/100000,IF(O355="עודף",M355+ROW()/100000,""))</f>
        <v/>
      </c>
    </row>
    <row r="356">
      <c r="K356" s="24">
        <f>IF($B356="","",SUM(C356:J356))</f>
        <v/>
      </c>
      <c r="M356" s="24">
        <f>IF(OR($B356="",L356=""),"",K356-L356)</f>
        <v/>
      </c>
      <c r="N356" s="25">
        <f>IF(OR($B356="",L356="",L356=0),"",K356/L356)</f>
        <v/>
      </c>
      <c r="O356" s="24">
        <f>IF($B356="","",IF(L356="","אין מצאי",IF(K356&lt;L356,"חוסר",IF(K356&gt;L356,"עודף","תקין"))))</f>
        <v/>
      </c>
      <c r="Q356">
        <f>IF(O356="חוסר",M356-ROW()/100000,IF(O356="עודף",M356+ROW()/100000,""))</f>
        <v/>
      </c>
    </row>
    <row r="357">
      <c r="K357" s="24">
        <f>IF($B357="","",SUM(C357:J357))</f>
        <v/>
      </c>
      <c r="M357" s="24">
        <f>IF(OR($B357="",L357=""),"",K357-L357)</f>
        <v/>
      </c>
      <c r="N357" s="25">
        <f>IF(OR($B357="",L357="",L357=0),"",K357/L357)</f>
        <v/>
      </c>
      <c r="O357" s="24">
        <f>IF($B357="","",IF(L357="","אין מצאי",IF(K357&lt;L357,"חוסר",IF(K357&gt;L357,"עודף","תקין"))))</f>
        <v/>
      </c>
      <c r="Q357">
        <f>IF(O357="חוסר",M357-ROW()/100000,IF(O357="עודף",M357+ROW()/100000,""))</f>
        <v/>
      </c>
    </row>
    <row r="358">
      <c r="K358" s="24">
        <f>IF($B358="","",SUM(C358:J358))</f>
        <v/>
      </c>
      <c r="M358" s="24">
        <f>IF(OR($B358="",L358=""),"",K358-L358)</f>
        <v/>
      </c>
      <c r="N358" s="25">
        <f>IF(OR($B358="",L358="",L358=0),"",K358/L358)</f>
        <v/>
      </c>
      <c r="O358" s="24">
        <f>IF($B358="","",IF(L358="","אין מצאי",IF(K358&lt;L358,"חוסר",IF(K358&gt;L358,"עודף","תקין"))))</f>
        <v/>
      </c>
      <c r="Q358">
        <f>IF(O358="חוסר",M358-ROW()/100000,IF(O358="עודף",M358+ROW()/100000,""))</f>
        <v/>
      </c>
    </row>
    <row r="359">
      <c r="K359" s="24">
        <f>IF($B359="","",SUM(C359:J359))</f>
        <v/>
      </c>
      <c r="M359" s="24">
        <f>IF(OR($B359="",L359=""),"",K359-L359)</f>
        <v/>
      </c>
      <c r="N359" s="25">
        <f>IF(OR($B359="",L359="",L359=0),"",K359/L359)</f>
        <v/>
      </c>
      <c r="O359" s="24">
        <f>IF($B359="","",IF(L359="","אין מצאי",IF(K359&lt;L359,"חוסר",IF(K359&gt;L359,"עודף","תקין"))))</f>
        <v/>
      </c>
      <c r="Q359">
        <f>IF(O359="חוסר",M359-ROW()/100000,IF(O359="עודף",M359+ROW()/100000,""))</f>
        <v/>
      </c>
    </row>
    <row r="360">
      <c r="K360" s="24">
        <f>IF($B360="","",SUM(C360:J360))</f>
        <v/>
      </c>
      <c r="M360" s="24">
        <f>IF(OR($B360="",L360=""),"",K360-L360)</f>
        <v/>
      </c>
      <c r="N360" s="25">
        <f>IF(OR($B360="",L360="",L360=0),"",K360/L360)</f>
        <v/>
      </c>
      <c r="O360" s="24">
        <f>IF($B360="","",IF(L360="","אין מצאי",IF(K360&lt;L360,"חוסר",IF(K360&gt;L360,"עודף","תקין"))))</f>
        <v/>
      </c>
      <c r="Q360">
        <f>IF(O360="חוסר",M360-ROW()/100000,IF(O360="עודף",M360+ROW()/100000,""))</f>
        <v/>
      </c>
    </row>
    <row r="361">
      <c r="K361" s="24">
        <f>IF($B361="","",SUM(C361:J361))</f>
        <v/>
      </c>
      <c r="M361" s="24">
        <f>IF(OR($B361="",L361=""),"",K361-L361)</f>
        <v/>
      </c>
      <c r="N361" s="25">
        <f>IF(OR($B361="",L361="",L361=0),"",K361/L361)</f>
        <v/>
      </c>
      <c r="O361" s="24">
        <f>IF($B361="","",IF(L361="","אין מצאי",IF(K361&lt;L361,"חוסר",IF(K361&gt;L361,"עודף","תקין"))))</f>
        <v/>
      </c>
      <c r="Q361">
        <f>IF(O361="חוסר",M361-ROW()/100000,IF(O361="עודף",M361+ROW()/100000,""))</f>
        <v/>
      </c>
    </row>
    <row r="362">
      <c r="K362" s="24">
        <f>IF($B362="","",SUM(C362:J362))</f>
        <v/>
      </c>
      <c r="M362" s="24">
        <f>IF(OR($B362="",L362=""),"",K362-L362)</f>
        <v/>
      </c>
      <c r="N362" s="25">
        <f>IF(OR($B362="",L362="",L362=0),"",K362/L362)</f>
        <v/>
      </c>
      <c r="O362" s="24">
        <f>IF($B362="","",IF(L362="","אין מצאי",IF(K362&lt;L362,"חוסר",IF(K362&gt;L362,"עודף","תקין"))))</f>
        <v/>
      </c>
      <c r="Q362">
        <f>IF(O362="חוסר",M362-ROW()/100000,IF(O362="עודף",M362+ROW()/100000,""))</f>
        <v/>
      </c>
    </row>
    <row r="363">
      <c r="K363" s="24">
        <f>IF($B363="","",SUM(C363:J363))</f>
        <v/>
      </c>
      <c r="M363" s="24">
        <f>IF(OR($B363="",L363=""),"",K363-L363)</f>
        <v/>
      </c>
      <c r="N363" s="25">
        <f>IF(OR($B363="",L363="",L363=0),"",K363/L363)</f>
        <v/>
      </c>
      <c r="O363" s="24">
        <f>IF($B363="","",IF(L363="","אין מצאי",IF(K363&lt;L363,"חוסר",IF(K363&gt;L363,"עודף","תקין"))))</f>
        <v/>
      </c>
      <c r="Q363">
        <f>IF(O363="חוסר",M363-ROW()/100000,IF(O363="עודף",M363+ROW()/100000,""))</f>
        <v/>
      </c>
    </row>
    <row r="364">
      <c r="K364" s="24">
        <f>IF($B364="","",SUM(C364:J364))</f>
        <v/>
      </c>
      <c r="M364" s="24">
        <f>IF(OR($B364="",L364=""),"",K364-L364)</f>
        <v/>
      </c>
      <c r="N364" s="25">
        <f>IF(OR($B364="",L364="",L364=0),"",K364/L364)</f>
        <v/>
      </c>
      <c r="O364" s="24">
        <f>IF($B364="","",IF(L364="","אין מצאי",IF(K364&lt;L364,"חוסר",IF(K364&gt;L364,"עודף","תקין"))))</f>
        <v/>
      </c>
      <c r="Q364">
        <f>IF(O364="חוסר",M364-ROW()/100000,IF(O364="עודף",M364+ROW()/100000,""))</f>
        <v/>
      </c>
    </row>
    <row r="365">
      <c r="K365" s="24">
        <f>IF($B365="","",SUM(C365:J365))</f>
        <v/>
      </c>
      <c r="M365" s="24">
        <f>IF(OR($B365="",L365=""),"",K365-L365)</f>
        <v/>
      </c>
      <c r="N365" s="25">
        <f>IF(OR($B365="",L365="",L365=0),"",K365/L365)</f>
        <v/>
      </c>
      <c r="O365" s="24">
        <f>IF($B365="","",IF(L365="","אין מצאי",IF(K365&lt;L365,"חוסר",IF(K365&gt;L365,"עודף","תקין"))))</f>
        <v/>
      </c>
      <c r="Q365">
        <f>IF(O365="חוסר",M365-ROW()/100000,IF(O365="עודף",M365+ROW()/100000,""))</f>
        <v/>
      </c>
    </row>
    <row r="366">
      <c r="K366" s="24">
        <f>IF($B366="","",SUM(C366:J366))</f>
        <v/>
      </c>
      <c r="M366" s="24">
        <f>IF(OR($B366="",L366=""),"",K366-L366)</f>
        <v/>
      </c>
      <c r="N366" s="25">
        <f>IF(OR($B366="",L366="",L366=0),"",K366/L366)</f>
        <v/>
      </c>
      <c r="O366" s="24">
        <f>IF($B366="","",IF(L366="","אין מצאי",IF(K366&lt;L366,"חוסר",IF(K366&gt;L366,"עודף","תקין"))))</f>
        <v/>
      </c>
      <c r="Q366">
        <f>IF(O366="חוסר",M366-ROW()/100000,IF(O366="עודף",M366+ROW()/100000,""))</f>
        <v/>
      </c>
    </row>
    <row r="367">
      <c r="K367" s="24">
        <f>IF($B367="","",SUM(C367:J367))</f>
        <v/>
      </c>
      <c r="M367" s="24">
        <f>IF(OR($B367="",L367=""),"",K367-L367)</f>
        <v/>
      </c>
      <c r="N367" s="25">
        <f>IF(OR($B367="",L367="",L367=0),"",K367/L367)</f>
        <v/>
      </c>
      <c r="O367" s="24">
        <f>IF($B367="","",IF(L367="","אין מצאי",IF(K367&lt;L367,"חוסר",IF(K367&gt;L367,"עודף","תקין"))))</f>
        <v/>
      </c>
      <c r="Q367">
        <f>IF(O367="חוסר",M367-ROW()/100000,IF(O367="עודף",M367+ROW()/100000,""))</f>
        <v/>
      </c>
    </row>
    <row r="368">
      <c r="K368" s="24">
        <f>IF($B368="","",SUM(C368:J368))</f>
        <v/>
      </c>
      <c r="M368" s="24">
        <f>IF(OR($B368="",L368=""),"",K368-L368)</f>
        <v/>
      </c>
      <c r="N368" s="25">
        <f>IF(OR($B368="",L368="",L368=0),"",K368/L368)</f>
        <v/>
      </c>
      <c r="O368" s="24">
        <f>IF($B368="","",IF(L368="","אין מצאי",IF(K368&lt;L368,"חוסר",IF(K368&gt;L368,"עודף","תקין"))))</f>
        <v/>
      </c>
      <c r="Q368">
        <f>IF(O368="חוסר",M368-ROW()/100000,IF(O368="עודף",M368+ROW()/100000,""))</f>
        <v/>
      </c>
    </row>
    <row r="369">
      <c r="K369" s="24">
        <f>IF($B369="","",SUM(C369:J369))</f>
        <v/>
      </c>
      <c r="M369" s="24">
        <f>IF(OR($B369="",L369=""),"",K369-L369)</f>
        <v/>
      </c>
      <c r="N369" s="25">
        <f>IF(OR($B369="",L369="",L369=0),"",K369/L369)</f>
        <v/>
      </c>
      <c r="O369" s="24">
        <f>IF($B369="","",IF(L369="","אין מצאי",IF(K369&lt;L369,"חוסר",IF(K369&gt;L369,"עודף","תקין"))))</f>
        <v/>
      </c>
      <c r="Q369">
        <f>IF(O369="חוסר",M369-ROW()/100000,IF(O369="עודף",M369+ROW()/100000,""))</f>
        <v/>
      </c>
    </row>
    <row r="370">
      <c r="K370" s="24">
        <f>IF($B370="","",SUM(C370:J370))</f>
        <v/>
      </c>
      <c r="M370" s="24">
        <f>IF(OR($B370="",L370=""),"",K370-L370)</f>
        <v/>
      </c>
      <c r="N370" s="25">
        <f>IF(OR($B370="",L370="",L370=0),"",K370/L370)</f>
        <v/>
      </c>
      <c r="O370" s="24">
        <f>IF($B370="","",IF(L370="","אין מצאי",IF(K370&lt;L370,"חוסר",IF(K370&gt;L370,"עודף","תקין"))))</f>
        <v/>
      </c>
      <c r="Q370">
        <f>IF(O370="חוסר",M370-ROW()/100000,IF(O370="עודף",M370+ROW()/100000,""))</f>
        <v/>
      </c>
    </row>
    <row r="371">
      <c r="K371" s="24">
        <f>IF($B371="","",SUM(C371:J371))</f>
        <v/>
      </c>
      <c r="M371" s="24">
        <f>IF(OR($B371="",L371=""),"",K371-L371)</f>
        <v/>
      </c>
      <c r="N371" s="25">
        <f>IF(OR($B371="",L371="",L371=0),"",K371/L371)</f>
        <v/>
      </c>
      <c r="O371" s="24">
        <f>IF($B371="","",IF(L371="","אין מצאי",IF(K371&lt;L371,"חוסר",IF(K371&gt;L371,"עודף","תקין"))))</f>
        <v/>
      </c>
      <c r="Q371">
        <f>IF(O371="חוסר",M371-ROW()/100000,IF(O371="עודף",M371+ROW()/100000,""))</f>
        <v/>
      </c>
    </row>
    <row r="372">
      <c r="K372" s="24">
        <f>IF($B372="","",SUM(C372:J372))</f>
        <v/>
      </c>
      <c r="M372" s="24">
        <f>IF(OR($B372="",L372=""),"",K372-L372)</f>
        <v/>
      </c>
      <c r="N372" s="25">
        <f>IF(OR($B372="",L372="",L372=0),"",K372/L372)</f>
        <v/>
      </c>
      <c r="O372" s="24">
        <f>IF($B372="","",IF(L372="","אין מצאי",IF(K372&lt;L372,"חוסר",IF(K372&gt;L372,"עודף","תקין"))))</f>
        <v/>
      </c>
      <c r="Q372">
        <f>IF(O372="חוסר",M372-ROW()/100000,IF(O372="עודף",M372+ROW()/100000,""))</f>
        <v/>
      </c>
    </row>
    <row r="373">
      <c r="K373" s="24">
        <f>IF($B373="","",SUM(C373:J373))</f>
        <v/>
      </c>
      <c r="M373" s="24">
        <f>IF(OR($B373="",L373=""),"",K373-L373)</f>
        <v/>
      </c>
      <c r="N373" s="25">
        <f>IF(OR($B373="",L373="",L373=0),"",K373/L373)</f>
        <v/>
      </c>
      <c r="O373" s="24">
        <f>IF($B373="","",IF(L373="","אין מצאי",IF(K373&lt;L373,"חוסר",IF(K373&gt;L373,"עודף","תקין"))))</f>
        <v/>
      </c>
      <c r="Q373">
        <f>IF(O373="חוסר",M373-ROW()/100000,IF(O373="עודף",M373+ROW()/100000,""))</f>
        <v/>
      </c>
    </row>
    <row r="374">
      <c r="K374" s="24">
        <f>IF($B374="","",SUM(C374:J374))</f>
        <v/>
      </c>
      <c r="M374" s="24">
        <f>IF(OR($B374="",L374=""),"",K374-L374)</f>
        <v/>
      </c>
      <c r="N374" s="25">
        <f>IF(OR($B374="",L374="",L374=0),"",K374/L374)</f>
        <v/>
      </c>
      <c r="O374" s="24">
        <f>IF($B374="","",IF(L374="","אין מצאי",IF(K374&lt;L374,"חוסר",IF(K374&gt;L374,"עודף","תקין"))))</f>
        <v/>
      </c>
      <c r="Q374">
        <f>IF(O374="חוסר",M374-ROW()/100000,IF(O374="עודף",M374+ROW()/100000,""))</f>
        <v/>
      </c>
    </row>
    <row r="375">
      <c r="K375" s="24">
        <f>IF($B375="","",SUM(C375:J375))</f>
        <v/>
      </c>
      <c r="M375" s="24">
        <f>IF(OR($B375="",L375=""),"",K375-L375)</f>
        <v/>
      </c>
      <c r="N375" s="25">
        <f>IF(OR($B375="",L375="",L375=0),"",K375/L375)</f>
        <v/>
      </c>
      <c r="O375" s="24">
        <f>IF($B375="","",IF(L375="","אין מצאי",IF(K375&lt;L375,"חוסר",IF(K375&gt;L375,"עודף","תקין"))))</f>
        <v/>
      </c>
      <c r="Q375">
        <f>IF(O375="חוסר",M375-ROW()/100000,IF(O375="עודף",M375+ROW()/100000,""))</f>
        <v/>
      </c>
    </row>
    <row r="376">
      <c r="K376" s="24">
        <f>IF($B376="","",SUM(C376:J376))</f>
        <v/>
      </c>
      <c r="M376" s="24">
        <f>IF(OR($B376="",L376=""),"",K376-L376)</f>
        <v/>
      </c>
      <c r="N376" s="25">
        <f>IF(OR($B376="",L376="",L376=0),"",K376/L376)</f>
        <v/>
      </c>
      <c r="O376" s="24">
        <f>IF($B376="","",IF(L376="","אין מצאי",IF(K376&lt;L376,"חוסר",IF(K376&gt;L376,"עודף","תקין"))))</f>
        <v/>
      </c>
      <c r="Q376">
        <f>IF(O376="חוסר",M376-ROW()/100000,IF(O376="עודף",M376+ROW()/100000,""))</f>
        <v/>
      </c>
    </row>
    <row r="377">
      <c r="K377" s="24">
        <f>IF($B377="","",SUM(C377:J377))</f>
        <v/>
      </c>
      <c r="M377" s="24">
        <f>IF(OR($B377="",L377=""),"",K377-L377)</f>
        <v/>
      </c>
      <c r="N377" s="25">
        <f>IF(OR($B377="",L377="",L377=0),"",K377/L377)</f>
        <v/>
      </c>
      <c r="O377" s="24">
        <f>IF($B377="","",IF(L377="","אין מצאי",IF(K377&lt;L377,"חוסר",IF(K377&gt;L377,"עודף","תקין"))))</f>
        <v/>
      </c>
      <c r="Q377">
        <f>IF(O377="חוסר",M377-ROW()/100000,IF(O377="עודף",M377+ROW()/100000,""))</f>
        <v/>
      </c>
    </row>
    <row r="378">
      <c r="K378" s="24">
        <f>IF($B378="","",SUM(C378:J378))</f>
        <v/>
      </c>
      <c r="M378" s="24">
        <f>IF(OR($B378="",L378=""),"",K378-L378)</f>
        <v/>
      </c>
      <c r="N378" s="25">
        <f>IF(OR($B378="",L378="",L378=0),"",K378/L378)</f>
        <v/>
      </c>
      <c r="O378" s="24">
        <f>IF($B378="","",IF(L378="","אין מצאי",IF(K378&lt;L378,"חוסר",IF(K378&gt;L378,"עודף","תקין"))))</f>
        <v/>
      </c>
      <c r="Q378">
        <f>IF(O378="חוסר",M378-ROW()/100000,IF(O378="עודף",M378+ROW()/100000,""))</f>
        <v/>
      </c>
    </row>
    <row r="379">
      <c r="K379" s="24">
        <f>IF($B379="","",SUM(C379:J379))</f>
        <v/>
      </c>
      <c r="M379" s="24">
        <f>IF(OR($B379="",L379=""),"",K379-L379)</f>
        <v/>
      </c>
      <c r="N379" s="25">
        <f>IF(OR($B379="",L379="",L379=0),"",K379/L379)</f>
        <v/>
      </c>
      <c r="O379" s="24">
        <f>IF($B379="","",IF(L379="","אין מצאי",IF(K379&lt;L379,"חוסר",IF(K379&gt;L379,"עודף","תקין"))))</f>
        <v/>
      </c>
      <c r="Q379">
        <f>IF(O379="חוסר",M379-ROW()/100000,IF(O379="עודף",M379+ROW()/100000,""))</f>
        <v/>
      </c>
    </row>
    <row r="380">
      <c r="K380" s="24">
        <f>IF($B380="","",SUM(C380:J380))</f>
        <v/>
      </c>
      <c r="M380" s="24">
        <f>IF(OR($B380="",L380=""),"",K380-L380)</f>
        <v/>
      </c>
      <c r="N380" s="25">
        <f>IF(OR($B380="",L380="",L380=0),"",K380/L380)</f>
        <v/>
      </c>
      <c r="O380" s="24">
        <f>IF($B380="","",IF(L380="","אין מצאי",IF(K380&lt;L380,"חוסר",IF(K380&gt;L380,"עודף","תקין"))))</f>
        <v/>
      </c>
      <c r="Q380">
        <f>IF(O380="חוסר",M380-ROW()/100000,IF(O380="עודף",M380+ROW()/100000,""))</f>
        <v/>
      </c>
    </row>
    <row r="381">
      <c r="K381" s="24">
        <f>IF($B381="","",SUM(C381:J381))</f>
        <v/>
      </c>
      <c r="M381" s="24">
        <f>IF(OR($B381="",L381=""),"",K381-L381)</f>
        <v/>
      </c>
      <c r="N381" s="25">
        <f>IF(OR($B381="",L381="",L381=0),"",K381/L381)</f>
        <v/>
      </c>
      <c r="O381" s="24">
        <f>IF($B381="","",IF(L381="","אין מצאי",IF(K381&lt;L381,"חוסר",IF(K381&gt;L381,"עודף","תקין"))))</f>
        <v/>
      </c>
      <c r="Q381">
        <f>IF(O381="חוסר",M381-ROW()/100000,IF(O381="עודף",M381+ROW()/100000,""))</f>
        <v/>
      </c>
    </row>
    <row r="382">
      <c r="K382" s="24">
        <f>IF($B382="","",SUM(C382:J382))</f>
        <v/>
      </c>
      <c r="M382" s="24">
        <f>IF(OR($B382="",L382=""),"",K382-L382)</f>
        <v/>
      </c>
      <c r="N382" s="25">
        <f>IF(OR($B382="",L382="",L382=0),"",K382/L382)</f>
        <v/>
      </c>
      <c r="O382" s="24">
        <f>IF($B382="","",IF(L382="","אין מצאי",IF(K382&lt;L382,"חוסר",IF(K382&gt;L382,"עודף","תקין"))))</f>
        <v/>
      </c>
      <c r="Q382">
        <f>IF(O382="חוסר",M382-ROW()/100000,IF(O382="עודף",M382+ROW()/100000,""))</f>
        <v/>
      </c>
    </row>
    <row r="383">
      <c r="K383" s="24">
        <f>IF($B383="","",SUM(C383:J383))</f>
        <v/>
      </c>
      <c r="M383" s="24">
        <f>IF(OR($B383="",L383=""),"",K383-L383)</f>
        <v/>
      </c>
      <c r="N383" s="25">
        <f>IF(OR($B383="",L383="",L383=0),"",K383/L383)</f>
        <v/>
      </c>
      <c r="O383" s="24">
        <f>IF($B383="","",IF(L383="","אין מצאי",IF(K383&lt;L383,"חוסר",IF(K383&gt;L383,"עודף","תקין"))))</f>
        <v/>
      </c>
      <c r="Q383">
        <f>IF(O383="חוסר",M383-ROW()/100000,IF(O383="עודף",M383+ROW()/100000,""))</f>
        <v/>
      </c>
    </row>
    <row r="384">
      <c r="K384" s="24">
        <f>IF($B384="","",SUM(C384:J384))</f>
        <v/>
      </c>
      <c r="M384" s="24">
        <f>IF(OR($B384="",L384=""),"",K384-L384)</f>
        <v/>
      </c>
      <c r="N384" s="25">
        <f>IF(OR($B384="",L384="",L384=0),"",K384/L384)</f>
        <v/>
      </c>
      <c r="O384" s="24">
        <f>IF($B384="","",IF(L384="","אין מצאי",IF(K384&lt;L384,"חוסר",IF(K384&gt;L384,"עודף","תקין"))))</f>
        <v/>
      </c>
      <c r="Q384">
        <f>IF(O384="חוסר",M384-ROW()/100000,IF(O384="עודף",M384+ROW()/100000,""))</f>
        <v/>
      </c>
    </row>
    <row r="385">
      <c r="K385" s="24">
        <f>IF($B385="","",SUM(C385:J385))</f>
        <v/>
      </c>
      <c r="M385" s="24">
        <f>IF(OR($B385="",L385=""),"",K385-L385)</f>
        <v/>
      </c>
      <c r="N385" s="25">
        <f>IF(OR($B385="",L385="",L385=0),"",K385/L385)</f>
        <v/>
      </c>
      <c r="O385" s="24">
        <f>IF($B385="","",IF(L385="","אין מצאי",IF(K385&lt;L385,"חוסר",IF(K385&gt;L385,"עודף","תקין"))))</f>
        <v/>
      </c>
      <c r="Q385">
        <f>IF(O385="חוסר",M385-ROW()/100000,IF(O385="עודף",M385+ROW()/100000,""))</f>
        <v/>
      </c>
    </row>
    <row r="386">
      <c r="K386" s="24">
        <f>IF($B386="","",SUM(C386:J386))</f>
        <v/>
      </c>
      <c r="M386" s="24">
        <f>IF(OR($B386="",L386=""),"",K386-L386)</f>
        <v/>
      </c>
      <c r="N386" s="25">
        <f>IF(OR($B386="",L386="",L386=0),"",K386/L386)</f>
        <v/>
      </c>
      <c r="O386" s="24">
        <f>IF($B386="","",IF(L386="","אין מצאי",IF(K386&lt;L386,"חוסר",IF(K386&gt;L386,"עודף","תקין"))))</f>
        <v/>
      </c>
      <c r="Q386">
        <f>IF(O386="חוסר",M386-ROW()/100000,IF(O386="עודף",M386+ROW()/100000,""))</f>
        <v/>
      </c>
    </row>
    <row r="387">
      <c r="K387" s="24">
        <f>IF($B387="","",SUM(C387:J387))</f>
        <v/>
      </c>
      <c r="M387" s="24">
        <f>IF(OR($B387="",L387=""),"",K387-L387)</f>
        <v/>
      </c>
      <c r="N387" s="25">
        <f>IF(OR($B387="",L387="",L387=0),"",K387/L387)</f>
        <v/>
      </c>
      <c r="O387" s="24">
        <f>IF($B387="","",IF(L387="","אין מצאי",IF(K387&lt;L387,"חוסר",IF(K387&gt;L387,"עודף","תקין"))))</f>
        <v/>
      </c>
      <c r="Q387">
        <f>IF(O387="חוסר",M387-ROW()/100000,IF(O387="עודף",M387+ROW()/100000,""))</f>
        <v/>
      </c>
    </row>
    <row r="388">
      <c r="K388" s="24">
        <f>IF($B388="","",SUM(C388:J388))</f>
        <v/>
      </c>
      <c r="M388" s="24">
        <f>IF(OR($B388="",L388=""),"",K388-L388)</f>
        <v/>
      </c>
      <c r="N388" s="25">
        <f>IF(OR($B388="",L388="",L388=0),"",K388/L388)</f>
        <v/>
      </c>
      <c r="O388" s="24">
        <f>IF($B388="","",IF(L388="","אין מצאי",IF(K388&lt;L388,"חוסר",IF(K388&gt;L388,"עודף","תקין"))))</f>
        <v/>
      </c>
      <c r="Q388">
        <f>IF(O388="חוסר",M388-ROW()/100000,IF(O388="עודף",M388+ROW()/100000,""))</f>
        <v/>
      </c>
    </row>
    <row r="389">
      <c r="K389" s="24">
        <f>IF($B389="","",SUM(C389:J389))</f>
        <v/>
      </c>
      <c r="M389" s="24">
        <f>IF(OR($B389="",L389=""),"",K389-L389)</f>
        <v/>
      </c>
      <c r="N389" s="25">
        <f>IF(OR($B389="",L389="",L389=0),"",K389/L389)</f>
        <v/>
      </c>
      <c r="O389" s="24">
        <f>IF($B389="","",IF(L389="","אין מצאי",IF(K389&lt;L389,"חוסר",IF(K389&gt;L389,"עודף","תקין"))))</f>
        <v/>
      </c>
      <c r="Q389">
        <f>IF(O389="חוסר",M389-ROW()/100000,IF(O389="עודף",M389+ROW()/100000,""))</f>
        <v/>
      </c>
    </row>
    <row r="390">
      <c r="K390" s="24">
        <f>IF($B390="","",SUM(C390:J390))</f>
        <v/>
      </c>
      <c r="M390" s="24">
        <f>IF(OR($B390="",L390=""),"",K390-L390)</f>
        <v/>
      </c>
      <c r="N390" s="25">
        <f>IF(OR($B390="",L390="",L390=0),"",K390/L390)</f>
        <v/>
      </c>
      <c r="O390" s="24">
        <f>IF($B390="","",IF(L390="","אין מצאי",IF(K390&lt;L390,"חוסר",IF(K390&gt;L390,"עודף","תקין"))))</f>
        <v/>
      </c>
      <c r="Q390">
        <f>IF(O390="חוסר",M390-ROW()/100000,IF(O390="עודף",M390+ROW()/100000,""))</f>
        <v/>
      </c>
    </row>
    <row r="391">
      <c r="K391" s="24">
        <f>IF($B391="","",SUM(C391:J391))</f>
        <v/>
      </c>
      <c r="M391" s="24">
        <f>IF(OR($B391="",L391=""),"",K391-L391)</f>
        <v/>
      </c>
      <c r="N391" s="25">
        <f>IF(OR($B391="",L391="",L391=0),"",K391/L391)</f>
        <v/>
      </c>
      <c r="O391" s="24">
        <f>IF($B391="","",IF(L391="","אין מצאי",IF(K391&lt;L391,"חוסר",IF(K391&gt;L391,"עודף","תקין"))))</f>
        <v/>
      </c>
      <c r="Q391">
        <f>IF(O391="חוסר",M391-ROW()/100000,IF(O391="עודף",M391+ROW()/100000,""))</f>
        <v/>
      </c>
    </row>
    <row r="392">
      <c r="K392" s="24">
        <f>IF($B392="","",SUM(C392:J392))</f>
        <v/>
      </c>
      <c r="M392" s="24">
        <f>IF(OR($B392="",L392=""),"",K392-L392)</f>
        <v/>
      </c>
      <c r="N392" s="25">
        <f>IF(OR($B392="",L392="",L392=0),"",K392/L392)</f>
        <v/>
      </c>
      <c r="O392" s="24">
        <f>IF($B392="","",IF(L392="","אין מצאי",IF(K392&lt;L392,"חוסר",IF(K392&gt;L392,"עודף","תקין"))))</f>
        <v/>
      </c>
      <c r="Q392">
        <f>IF(O392="חוסר",M392-ROW()/100000,IF(O392="עודף",M392+ROW()/100000,""))</f>
        <v/>
      </c>
    </row>
    <row r="393">
      <c r="K393" s="24">
        <f>IF($B393="","",SUM(C393:J393))</f>
        <v/>
      </c>
      <c r="M393" s="24">
        <f>IF(OR($B393="",L393=""),"",K393-L393)</f>
        <v/>
      </c>
      <c r="N393" s="25">
        <f>IF(OR($B393="",L393="",L393=0),"",K393/L393)</f>
        <v/>
      </c>
      <c r="O393" s="24">
        <f>IF($B393="","",IF(L393="","אין מצאי",IF(K393&lt;L393,"חוסר",IF(K393&gt;L393,"עודף","תקין"))))</f>
        <v/>
      </c>
      <c r="Q393">
        <f>IF(O393="חוסר",M393-ROW()/100000,IF(O393="עודף",M393+ROW()/100000,""))</f>
        <v/>
      </c>
    </row>
    <row r="394">
      <c r="K394" s="24">
        <f>IF($B394="","",SUM(C394:J394))</f>
        <v/>
      </c>
      <c r="M394" s="24">
        <f>IF(OR($B394="",L394=""),"",K394-L394)</f>
        <v/>
      </c>
      <c r="N394" s="25">
        <f>IF(OR($B394="",L394="",L394=0),"",K394/L394)</f>
        <v/>
      </c>
      <c r="O394" s="24">
        <f>IF($B394="","",IF(L394="","אין מצאי",IF(K394&lt;L394,"חוסר",IF(K394&gt;L394,"עודף","תקין"))))</f>
        <v/>
      </c>
      <c r="Q394">
        <f>IF(O394="חוסר",M394-ROW()/100000,IF(O394="עודף",M394+ROW()/100000,""))</f>
        <v/>
      </c>
    </row>
    <row r="395">
      <c r="K395" s="24">
        <f>IF($B395="","",SUM(C395:J395))</f>
        <v/>
      </c>
      <c r="M395" s="24">
        <f>IF(OR($B395="",L395=""),"",K395-L395)</f>
        <v/>
      </c>
      <c r="N395" s="25">
        <f>IF(OR($B395="",L395="",L395=0),"",K395/L395)</f>
        <v/>
      </c>
      <c r="O395" s="24">
        <f>IF($B395="","",IF(L395="","אין מצאי",IF(K395&lt;L395,"חוסר",IF(K395&gt;L395,"עודף","תקין"))))</f>
        <v/>
      </c>
      <c r="Q395">
        <f>IF(O395="חוסר",M395-ROW()/100000,IF(O395="עודף",M395+ROW()/100000,""))</f>
        <v/>
      </c>
    </row>
    <row r="396">
      <c r="K396" s="24">
        <f>IF($B396="","",SUM(C396:J396))</f>
        <v/>
      </c>
      <c r="M396" s="24">
        <f>IF(OR($B396="",L396=""),"",K396-L396)</f>
        <v/>
      </c>
      <c r="N396" s="25">
        <f>IF(OR($B396="",L396="",L396=0),"",K396/L396)</f>
        <v/>
      </c>
      <c r="O396" s="24">
        <f>IF($B396="","",IF(L396="","אין מצאי",IF(K396&lt;L396,"חוסר",IF(K396&gt;L396,"עודף","תקין"))))</f>
        <v/>
      </c>
      <c r="Q396">
        <f>IF(O396="חוסר",M396-ROW()/100000,IF(O396="עודף",M396+ROW()/100000,""))</f>
        <v/>
      </c>
    </row>
    <row r="397">
      <c r="K397" s="24">
        <f>IF($B397="","",SUM(C397:J397))</f>
        <v/>
      </c>
      <c r="M397" s="24">
        <f>IF(OR($B397="",L397=""),"",K397-L397)</f>
        <v/>
      </c>
      <c r="N397" s="25">
        <f>IF(OR($B397="",L397="",L397=0),"",K397/L397)</f>
        <v/>
      </c>
      <c r="O397" s="24">
        <f>IF($B397="","",IF(L397="","אין מצאי",IF(K397&lt;L397,"חוסר",IF(K397&gt;L397,"עודף","תקין"))))</f>
        <v/>
      </c>
      <c r="Q397">
        <f>IF(O397="חוסר",M397-ROW()/100000,IF(O397="עודף",M397+ROW()/100000,""))</f>
        <v/>
      </c>
    </row>
    <row r="398">
      <c r="K398" s="24">
        <f>IF($B398="","",SUM(C398:J398))</f>
        <v/>
      </c>
      <c r="M398" s="24">
        <f>IF(OR($B398="",L398=""),"",K398-L398)</f>
        <v/>
      </c>
      <c r="N398" s="25">
        <f>IF(OR($B398="",L398="",L398=0),"",K398/L398)</f>
        <v/>
      </c>
      <c r="O398" s="24">
        <f>IF($B398="","",IF(L398="","אין מצאי",IF(K398&lt;L398,"חוסר",IF(K398&gt;L398,"עודף","תקין"))))</f>
        <v/>
      </c>
      <c r="Q398">
        <f>IF(O398="חוסר",M398-ROW()/100000,IF(O398="עודף",M398+ROW()/100000,""))</f>
        <v/>
      </c>
    </row>
    <row r="399">
      <c r="K399" s="24">
        <f>IF($B399="","",SUM(C399:J399))</f>
        <v/>
      </c>
      <c r="M399" s="24">
        <f>IF(OR($B399="",L399=""),"",K399-L399)</f>
        <v/>
      </c>
      <c r="N399" s="25">
        <f>IF(OR($B399="",L399="",L399=0),"",K399/L399)</f>
        <v/>
      </c>
      <c r="O399" s="24">
        <f>IF($B399="","",IF(L399="","אין מצאי",IF(K399&lt;L399,"חוסר",IF(K399&gt;L399,"עודף","תקין"))))</f>
        <v/>
      </c>
      <c r="Q399">
        <f>IF(O399="חוסר",M399-ROW()/100000,IF(O399="עודף",M399+ROW()/100000,""))</f>
        <v/>
      </c>
    </row>
    <row r="400">
      <c r="K400" s="24">
        <f>IF($B400="","",SUM(C400:J400))</f>
        <v/>
      </c>
      <c r="M400" s="24">
        <f>IF(OR($B400="",L400=""),"",K400-L400)</f>
        <v/>
      </c>
      <c r="N400" s="25">
        <f>IF(OR($B400="",L400="",L400=0),"",K400/L400)</f>
        <v/>
      </c>
      <c r="O400" s="24">
        <f>IF($B400="","",IF(L400="","אין מצאי",IF(K400&lt;L400,"חוסר",IF(K400&gt;L400,"עודף","תקין"))))</f>
        <v/>
      </c>
      <c r="Q400">
        <f>IF(O400="חוסר",M400-ROW()/100000,IF(O400="עודף",M400+ROW()/100000,""))</f>
        <v/>
      </c>
    </row>
  </sheetData>
  <mergeCells count="1">
    <mergeCell ref="A1:P1"/>
  </mergeCells>
  <conditionalFormatting sqref="A3:P400">
    <cfRule type="expression" priority="1" dxfId="0">
      <formula>$O3="חוסר"</formula>
    </cfRule>
    <cfRule type="expression" priority="2" dxfId="1">
      <formula>$O3="עודף"</formula>
    </cfRule>
    <cfRule type="expression" priority="3" dxfId="2">
      <formula>$O3="תקין"</formula>
    </cfRule>
    <cfRule type="expression" priority="4" dxfId="3">
      <formula>$O3="אין מצאי"</formula>
    </cfRule>
  </conditionalFormatting>
  <conditionalFormatting sqref="O3:O400">
    <cfRule type="expression" priority="5" dxfId="4">
      <formula>O3="חוסר"</formula>
    </cfRule>
    <cfRule type="expression" priority="6" dxfId="5">
      <formula>O3="עודף"</formula>
    </cfRule>
    <cfRule type="expression" priority="7" dxfId="6">
      <formula>O3="תקין"</formula>
    </cfRule>
    <cfRule type="expression" priority="8" dxfId="7">
      <formula>O3="אין מצאי"</formula>
    </cfRule>
  </conditionalFormatting>
  <conditionalFormatting sqref="M3:M400">
    <cfRule type="cellIs" priority="9" operator="lessThan" dxfId="4">
      <formula>0</formula>
    </cfRule>
    <cfRule type="cellIs" priority="10" operator="greaterThan" dxfId="5">
      <formula>0</formula>
    </cfRule>
  </conditionalFormatting>
  <conditionalFormatting sqref="N3:N400">
    <cfRule type="dataBar" priority="11">
      <dataBar>
        <cfvo type="num" val="0"/>
        <cfvo type="num" val="1"/>
        <color rgb="0063BE7B"/>
      </dataBar>
    </cfRule>
  </conditionalFormatting>
  <dataValidations count="1">
    <dataValidation sqref="A3:A400" showDropDown="0" showInputMessage="0" showErrorMessage="0" allowBlank="1" type="list">
      <formula1>=רשימות!$A$2:$A$9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26" t="inlineStr">
        <is>
          <t>סיכום לפי קטגוריה (חי)</t>
        </is>
      </c>
    </row>
    <row r="2">
      <c r="A2" s="27" t="inlineStr">
        <is>
          <t>קטגוריה</t>
        </is>
      </c>
      <c r="B2" s="27" t="inlineStr">
        <is>
          <t>פריטים</t>
        </is>
      </c>
      <c r="C2" s="27" t="inlineStr">
        <is>
          <t>סך יחידות</t>
        </is>
      </c>
      <c r="D2" s="27" t="inlineStr">
        <is>
          <t>סך מצאי</t>
        </is>
      </c>
      <c r="E2" s="27" t="inlineStr">
        <is>
          <t>סך פער</t>
        </is>
      </c>
      <c r="F2" s="27" t="inlineStr">
        <is>
          <t>חוסרים</t>
        </is>
      </c>
      <c r="G2" s="27" t="inlineStr">
        <is>
          <t>עודפים</t>
        </is>
      </c>
      <c r="H2" s="27" t="inlineStr">
        <is>
          <t>תקין</t>
        </is>
      </c>
    </row>
    <row r="3">
      <c r="A3" s="21" t="inlineStr">
        <is>
          <t>נשק ומקלעים</t>
        </is>
      </c>
      <c r="B3" s="17">
        <f>COUNTIF('טבלת ניהול'!$A$3:$A$400,"נשק ומקלעים")</f>
        <v/>
      </c>
      <c r="C3" s="17">
        <f>SUMIF('טבלת ניהול'!$A$3:$A$400,"נשק ומקלעים",'טבלת ניהול'!$K$3:$K$400)</f>
        <v/>
      </c>
      <c r="D3" s="17">
        <f>SUMIF('טבלת ניהול'!$A$3:$A$400,"נשק ומקלעים",'טבלת ניהול'!$L$3:$L$400)</f>
        <v/>
      </c>
      <c r="E3" s="17">
        <f>SUMIFS('טבלת ניהול'!$M$3:$M$400,'טבלת ניהול'!$A$3:$A$400,"נשק ומקלעים")</f>
        <v/>
      </c>
      <c r="F3" s="17">
        <f>COUNTIFS('טבלת ניהול'!$A$3:$A$400,"נשק ומקלעים",'טבלת ניהול'!$O$3:$O$400,"חוסר")</f>
        <v/>
      </c>
      <c r="G3" s="17">
        <f>COUNTIFS('טבלת ניהול'!$A$3:$A$400,"נשק ומקלעים",'טבלת ניהול'!$O$3:$O$400,"עודף")</f>
        <v/>
      </c>
      <c r="H3" s="17">
        <f>COUNTIFS('טבלת ניהול'!$A$3:$A$400,"נשק ומקלעים",'טבלת ניהול'!$O$3:$O$400,"תקין")</f>
        <v/>
      </c>
    </row>
    <row r="4">
      <c r="A4" s="21" t="inlineStr">
        <is>
          <t>כוונות ואופטיקה</t>
        </is>
      </c>
      <c r="B4" s="17">
        <f>COUNTIF('טבלת ניהול'!$A$3:$A$400,"כוונות ואופטיקה")</f>
        <v/>
      </c>
      <c r="C4" s="17">
        <f>SUMIF('טבלת ניהול'!$A$3:$A$400,"כוונות ואופטיקה",'טבלת ניהול'!$K$3:$K$400)</f>
        <v/>
      </c>
      <c r="D4" s="17">
        <f>SUMIF('טבלת ניהול'!$A$3:$A$400,"כוונות ואופטיקה",'טבלת ניהול'!$L$3:$L$400)</f>
        <v/>
      </c>
      <c r="E4" s="17">
        <f>SUMIFS('טבלת ניהול'!$M$3:$M$400,'טבלת ניהול'!$A$3:$A$400,"כוונות ואופטיקה")</f>
        <v/>
      </c>
      <c r="F4" s="17">
        <f>COUNTIFS('טבלת ניהול'!$A$3:$A$400,"כוונות ואופטיקה",'טבלת ניהול'!$O$3:$O$400,"חוסר")</f>
        <v/>
      </c>
      <c r="G4" s="17">
        <f>COUNTIFS('טבלת ניהול'!$A$3:$A$400,"כוונות ואופטיקה",'טבלת ניהול'!$O$3:$O$400,"עודף")</f>
        <v/>
      </c>
      <c r="H4" s="17">
        <f>COUNTIFS('טבלת ניהול'!$A$3:$A$400,"כוונות ואופטיקה",'טבלת ניהול'!$O$3:$O$400,"תקין")</f>
        <v/>
      </c>
    </row>
    <row r="5">
      <c r="A5" s="21" t="inlineStr">
        <is>
          <t>אמר"לים ותצפית</t>
        </is>
      </c>
      <c r="B5" s="17">
        <f>COUNTIF('טבלת ניהול'!$A$3:$A$400,"אמר"לים ותצפית")</f>
        <v/>
      </c>
      <c r="C5" s="17">
        <f>SUMIF('טבלת ניהול'!$A$3:$A$400,"אמר"לים ותצפית",'טבלת ניהול'!$K$3:$K$400)</f>
        <v/>
      </c>
      <c r="D5" s="17">
        <f>SUMIF('טבלת ניהול'!$A$3:$A$400,"אמר"לים ותצפית",'טבלת ניהול'!$L$3:$L$400)</f>
        <v/>
      </c>
      <c r="E5" s="17">
        <f>SUMIFS('טבלת ניהול'!$M$3:$M$400,'טבלת ניהול'!$A$3:$A$400,"אמר"לים ותצפית")</f>
        <v/>
      </c>
      <c r="F5" s="17">
        <f>COUNTIFS('טבלת ניהול'!$A$3:$A$400,"אמר"לים ותצפית",'טבלת ניהול'!$O$3:$O$400,"חוסר")</f>
        <v/>
      </c>
      <c r="G5" s="17">
        <f>COUNTIFS('טבלת ניהול'!$A$3:$A$400,"אמר"לים ותצפית",'טבלת ניהול'!$O$3:$O$400,"עודף")</f>
        <v/>
      </c>
      <c r="H5" s="17">
        <f>COUNTIFS('טבלת ניהול'!$A$3:$A$400,"אמר"לים ותצפית",'טבלת ניהול'!$O$3:$O$400,"תקין")</f>
        <v/>
      </c>
    </row>
    <row r="6">
      <c r="A6" s="21" t="inlineStr">
        <is>
          <t>סמנים ומציינים</t>
        </is>
      </c>
      <c r="B6" s="17">
        <f>COUNTIF('טבלת ניהול'!$A$3:$A$400,"סמנים ומציינים")</f>
        <v/>
      </c>
      <c r="C6" s="17">
        <f>SUMIF('טבלת ניהול'!$A$3:$A$400,"סמנים ומציינים",'טבלת ניהול'!$K$3:$K$400)</f>
        <v/>
      </c>
      <c r="D6" s="17">
        <f>SUMIF('טבלת ניהול'!$A$3:$A$400,"סמנים ומציינים",'טבלת ניהול'!$L$3:$L$400)</f>
        <v/>
      </c>
      <c r="E6" s="17">
        <f>SUMIFS('טבלת ניהול'!$M$3:$M$400,'טבלת ניהול'!$A$3:$A$400,"סמנים ומציינים")</f>
        <v/>
      </c>
      <c r="F6" s="17">
        <f>COUNTIFS('טבלת ניהול'!$A$3:$A$400,"סמנים ומציינים",'טבלת ניהול'!$O$3:$O$400,"חוסר")</f>
        <v/>
      </c>
      <c r="G6" s="17">
        <f>COUNTIFS('טבלת ניהול'!$A$3:$A$400,"סמנים ומציינים",'טבלת ניהול'!$O$3:$O$400,"עודף")</f>
        <v/>
      </c>
      <c r="H6" s="17">
        <f>COUNTIFS('טבלת ניהול'!$A$3:$A$400,"סמנים ומציינים",'טבלת ניהול'!$O$3:$O$400,"תקין")</f>
        <v/>
      </c>
    </row>
    <row r="7">
      <c r="A7" s="21" t="inlineStr">
        <is>
          <t>מט"ל ואבזור</t>
        </is>
      </c>
      <c r="B7" s="17">
        <f>COUNTIF('טבלת ניהול'!$A$3:$A$400,"מט"ל ואבזור")</f>
        <v/>
      </c>
      <c r="C7" s="17">
        <f>SUMIF('טבלת ניהול'!$A$3:$A$400,"מט"ל ואבזור",'טבלת ניהול'!$K$3:$K$400)</f>
        <v/>
      </c>
      <c r="D7" s="17">
        <f>SUMIF('טבלת ניהול'!$A$3:$A$400,"מט"ל ואבזור",'טבלת ניהול'!$L$3:$L$400)</f>
        <v/>
      </c>
      <c r="E7" s="17">
        <f>SUMIFS('טבלת ניהול'!$M$3:$M$400,'טבלת ניהול'!$A$3:$A$400,"מט"ל ואבזור")</f>
        <v/>
      </c>
      <c r="F7" s="17">
        <f>COUNTIFS('טבלת ניהול'!$A$3:$A$400,"מט"ל ואבזור",'טבלת ניהול'!$O$3:$O$400,"חוסר")</f>
        <v/>
      </c>
      <c r="G7" s="17">
        <f>COUNTIFS('טבלת ניהול'!$A$3:$A$400,"מט"ל ואבזור",'טבלת ניהול'!$O$3:$O$400,"עודף")</f>
        <v/>
      </c>
      <c r="H7" s="17">
        <f>COUNTIFS('טבלת ניהול'!$A$3:$A$400,"מט"ל ואבזור",'טבלת ניהול'!$O$3:$O$400,"תקין")</f>
        <v/>
      </c>
    </row>
    <row r="8">
      <c r="A8" s="21" t="inlineStr">
        <is>
          <t>רחפנים</t>
        </is>
      </c>
      <c r="B8" s="17">
        <f>COUNTIF('טבלת ניהול'!$A$3:$A$400,"רחפנים")</f>
        <v/>
      </c>
      <c r="C8" s="17">
        <f>SUMIF('טבלת ניהול'!$A$3:$A$400,"רחפנים",'טבלת ניהול'!$K$3:$K$400)</f>
        <v/>
      </c>
      <c r="D8" s="17">
        <f>SUMIF('טבלת ניהול'!$A$3:$A$400,"רחפנים",'טבלת ניהול'!$L$3:$L$400)</f>
        <v/>
      </c>
      <c r="E8" s="17">
        <f>SUMIFS('טבלת ניהול'!$M$3:$M$400,'טבלת ניהול'!$A$3:$A$400,"רחפנים")</f>
        <v/>
      </c>
      <c r="F8" s="17">
        <f>COUNTIFS('טבלת ניהול'!$A$3:$A$400,"רחפנים",'טבלת ניהול'!$O$3:$O$400,"חוסר")</f>
        <v/>
      </c>
      <c r="G8" s="17">
        <f>COUNTIFS('טבלת ניהול'!$A$3:$A$400,"רחפנים",'טבלת ניהול'!$O$3:$O$400,"עודף")</f>
        <v/>
      </c>
      <c r="H8" s="17">
        <f>COUNTIFS('טבלת ניהול'!$A$3:$A$400,"רחפנים",'טבלת ניהול'!$O$3:$O$400,"תקין")</f>
        <v/>
      </c>
    </row>
    <row r="9">
      <c r="A9" s="21" t="inlineStr">
        <is>
          <t>חשמל ואנרגיה</t>
        </is>
      </c>
      <c r="B9" s="17">
        <f>COUNTIF('טבלת ניהול'!$A$3:$A$400,"חשמל ואנרגיה")</f>
        <v/>
      </c>
      <c r="C9" s="17">
        <f>SUMIF('טבלת ניהול'!$A$3:$A$400,"חשמל ואנרגיה",'טבלת ניהול'!$K$3:$K$400)</f>
        <v/>
      </c>
      <c r="D9" s="17">
        <f>SUMIF('טבלת ניהול'!$A$3:$A$400,"חשמל ואנרגיה",'טבלת ניהול'!$L$3:$L$400)</f>
        <v/>
      </c>
      <c r="E9" s="17">
        <f>SUMIFS('טבלת ניהול'!$M$3:$M$400,'טבלת ניהול'!$A$3:$A$400,"חשמל ואנרגיה")</f>
        <v/>
      </c>
      <c r="F9" s="17">
        <f>COUNTIFS('טבלת ניהול'!$A$3:$A$400,"חשמל ואנרגיה",'טבלת ניהול'!$O$3:$O$400,"חוסר")</f>
        <v/>
      </c>
      <c r="G9" s="17">
        <f>COUNTIFS('טבלת ניהול'!$A$3:$A$400,"חשמל ואנרגיה",'טבלת ניהול'!$O$3:$O$400,"עודף")</f>
        <v/>
      </c>
      <c r="H9" s="17">
        <f>COUNTIFS('טבלת ניהול'!$A$3:$A$400,"חשמל ואנרגיה",'טבלת ניהול'!$O$3:$O$400,"תקין")</f>
        <v/>
      </c>
    </row>
    <row r="10">
      <c r="A10" s="21" t="inlineStr">
        <is>
          <t>אחר</t>
        </is>
      </c>
      <c r="B10" s="17">
        <f>COUNTIF('טבלת ניהול'!$A$3:$A$400,"אחר")</f>
        <v/>
      </c>
      <c r="C10" s="17">
        <f>SUMIF('טבלת ניהול'!$A$3:$A$400,"אחר",'טבלת ניהול'!$K$3:$K$400)</f>
        <v/>
      </c>
      <c r="D10" s="17">
        <f>SUMIF('טבלת ניהול'!$A$3:$A$400,"אחר",'טבלת ניהול'!$L$3:$L$400)</f>
        <v/>
      </c>
      <c r="E10" s="17">
        <f>SUMIFS('טבלת ניהול'!$M$3:$M$400,'טבלת ניהול'!$A$3:$A$400,"אחר")</f>
        <v/>
      </c>
      <c r="F10" s="17">
        <f>COUNTIFS('טבלת ניהול'!$A$3:$A$400,"אחר",'טבלת ניהול'!$O$3:$O$400,"חוסר")</f>
        <v/>
      </c>
      <c r="G10" s="17">
        <f>COUNTIFS('טבלת ניהול'!$A$3:$A$400,"אחר",'טבלת ניהול'!$O$3:$O$400,"עודף")</f>
        <v/>
      </c>
      <c r="H10" s="17">
        <f>COUNTIFS('טבלת ניהול'!$A$3:$A$400,"אחר",'טבלת ניהול'!$O$3:$O$400,"תקין")</f>
        <v/>
      </c>
    </row>
    <row r="11">
      <c r="A11" s="28" t="inlineStr">
        <is>
          <t>סה"כ</t>
        </is>
      </c>
      <c r="B11" s="29">
        <f>SUM(B3:B10)</f>
        <v/>
      </c>
      <c r="C11" s="29">
        <f>SUM(C3:C10)</f>
        <v/>
      </c>
      <c r="D11" s="29">
        <f>SUM(D3:D10)</f>
        <v/>
      </c>
      <c r="E11" s="29">
        <f>SUM(E3:E10)</f>
        <v/>
      </c>
      <c r="F11" s="29">
        <f>SUM(F3:F10)</f>
        <v/>
      </c>
      <c r="G11" s="29">
        <f>SUM(G3:G10)</f>
        <v/>
      </c>
      <c r="H11" s="29">
        <f>SUM(H3:H10)</f>
        <v/>
      </c>
    </row>
  </sheetData>
  <mergeCells count="1">
    <mergeCell ref="A1:H1"/>
  </mergeCells>
  <conditionalFormatting sqref="E3">
    <cfRule type="cellIs" priority="1" operator="lessThan" dxfId="4">
      <formula>0</formula>
    </cfRule>
    <cfRule type="cellIs" priority="2" operator="greaterThan" dxfId="5">
      <formula>0</formula>
    </cfRule>
  </conditionalFormatting>
  <conditionalFormatting sqref="E4">
    <cfRule type="cellIs" priority="3" operator="lessThan" dxfId="4">
      <formula>0</formula>
    </cfRule>
    <cfRule type="cellIs" priority="4" operator="greaterThan" dxfId="5">
      <formula>0</formula>
    </cfRule>
  </conditionalFormatting>
  <conditionalFormatting sqref="E5">
    <cfRule type="cellIs" priority="5" operator="lessThan" dxfId="4">
      <formula>0</formula>
    </cfRule>
    <cfRule type="cellIs" priority="6" operator="greaterThan" dxfId="5">
      <formula>0</formula>
    </cfRule>
  </conditionalFormatting>
  <conditionalFormatting sqref="E6">
    <cfRule type="cellIs" priority="7" operator="lessThan" dxfId="4">
      <formula>0</formula>
    </cfRule>
    <cfRule type="cellIs" priority="8" operator="greaterThan" dxfId="5">
      <formula>0</formula>
    </cfRule>
  </conditionalFormatting>
  <conditionalFormatting sqref="E7">
    <cfRule type="cellIs" priority="9" operator="lessThan" dxfId="4">
      <formula>0</formula>
    </cfRule>
    <cfRule type="cellIs" priority="10" operator="greaterThan" dxfId="5">
      <formula>0</formula>
    </cfRule>
  </conditionalFormatting>
  <conditionalFormatting sqref="E8">
    <cfRule type="cellIs" priority="11" operator="lessThan" dxfId="4">
      <formula>0</formula>
    </cfRule>
    <cfRule type="cellIs" priority="12" operator="greaterThan" dxfId="5">
      <formula>0</formula>
    </cfRule>
  </conditionalFormatting>
  <conditionalFormatting sqref="E9">
    <cfRule type="cellIs" priority="13" operator="lessThan" dxfId="4">
      <formula>0</formula>
    </cfRule>
    <cfRule type="cellIs" priority="14" operator="greaterThan" dxfId="5">
      <formula>0</formula>
    </cfRule>
  </conditionalFormatting>
  <conditionalFormatting sqref="E10">
    <cfRule type="cellIs" priority="15" operator="lessThan" dxfId="4">
      <formula>0</formula>
    </cfRule>
    <cfRule type="cellIs" priority="16" operator="greaterThan" dxfId="5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8" customHeight="1">
      <c r="A1" s="26" t="inlineStr">
        <is>
          <t>פילוח אחזקה לפי פלוגה / גורם (חי)</t>
        </is>
      </c>
    </row>
    <row r="2">
      <c r="A2" s="27" t="inlineStr">
        <is>
          <t>קטגוריה</t>
        </is>
      </c>
      <c r="B2" s="27" t="inlineStr">
        <is>
          <t>פלוגה א</t>
        </is>
      </c>
      <c r="C2" s="27" t="inlineStr">
        <is>
          <t>פלוגה ב</t>
        </is>
      </c>
      <c r="D2" s="27" t="inlineStr">
        <is>
          <t>פלוגה ג</t>
        </is>
      </c>
      <c r="E2" s="27" t="inlineStr">
        <is>
          <t>מסייעת</t>
        </is>
      </c>
      <c r="F2" s="27" t="inlineStr">
        <is>
          <t>פתן</t>
        </is>
      </c>
      <c r="G2" s="27" t="inlineStr">
        <is>
          <t>חפק</t>
        </is>
      </c>
      <c r="H2" s="27" t="inlineStr">
        <is>
          <t>מפקדה</t>
        </is>
      </c>
      <c r="I2" s="27" t="inlineStr">
        <is>
          <t>מלאי</t>
        </is>
      </c>
      <c r="J2" s="27" t="inlineStr">
        <is>
          <t>סך הכל</t>
        </is>
      </c>
    </row>
    <row r="3">
      <c r="A3" s="21" t="inlineStr">
        <is>
          <t>נשק ומקלעים</t>
        </is>
      </c>
      <c r="B3" s="17">
        <f>SUMIF('טבלת ניהול'!$A$3:$A$400,"נשק ומקלעים",'טבלת ניהול'!$C$3:$C$400)</f>
        <v/>
      </c>
      <c r="C3" s="17">
        <f>SUMIF('טבלת ניהול'!$A$3:$A$400,"נשק ומקלעים",'טבלת ניהול'!$D$3:$D$400)</f>
        <v/>
      </c>
      <c r="D3" s="17">
        <f>SUMIF('טבלת ניהול'!$A$3:$A$400,"נשק ומקלעים",'טבלת ניהול'!$E$3:$E$400)</f>
        <v/>
      </c>
      <c r="E3" s="17">
        <f>SUMIF('טבלת ניהול'!$A$3:$A$400,"נשק ומקלעים",'טבלת ניהול'!$F$3:$F$400)</f>
        <v/>
      </c>
      <c r="F3" s="17">
        <f>SUMIF('טבלת ניהול'!$A$3:$A$400,"נשק ומקלעים",'טבלת ניהול'!$G$3:$G$400)</f>
        <v/>
      </c>
      <c r="G3" s="17">
        <f>SUMIF('טבלת ניהול'!$A$3:$A$400,"נשק ומקלעים",'טבלת ניהול'!$H$3:$H$400)</f>
        <v/>
      </c>
      <c r="H3" s="17">
        <f>SUMIF('טבלת ניהול'!$A$3:$A$400,"נשק ומקלעים",'טבלת ניהול'!$I$3:$I$400)</f>
        <v/>
      </c>
      <c r="I3" s="17">
        <f>SUMIF('טבלת ניהול'!$A$3:$A$400,"נשק ומקלעים",'טבלת ניהול'!$J$3:$J$400)</f>
        <v/>
      </c>
      <c r="J3" s="17">
        <f>SUMIF('טבלת ניהול'!$A$3:$A$400,"נשק ומקלעים",'טבלת ניהול'!$K$3:$K$400)</f>
        <v/>
      </c>
    </row>
    <row r="4">
      <c r="A4" s="21" t="inlineStr">
        <is>
          <t>כוונות ואופטיקה</t>
        </is>
      </c>
      <c r="B4" s="17">
        <f>SUMIF('טבלת ניהול'!$A$3:$A$400,"כוונות ואופטיקה",'טבלת ניהול'!$C$3:$C$400)</f>
        <v/>
      </c>
      <c r="C4" s="17">
        <f>SUMIF('טבלת ניהול'!$A$3:$A$400,"כוונות ואופטיקה",'טבלת ניהול'!$D$3:$D$400)</f>
        <v/>
      </c>
      <c r="D4" s="17">
        <f>SUMIF('טבלת ניהול'!$A$3:$A$400,"כוונות ואופטיקה",'טבלת ניהול'!$E$3:$E$400)</f>
        <v/>
      </c>
      <c r="E4" s="17">
        <f>SUMIF('טבלת ניהול'!$A$3:$A$400,"כוונות ואופטיקה",'טבלת ניהול'!$F$3:$F$400)</f>
        <v/>
      </c>
      <c r="F4" s="17">
        <f>SUMIF('טבלת ניהול'!$A$3:$A$400,"כוונות ואופטיקה",'טבלת ניהול'!$G$3:$G$400)</f>
        <v/>
      </c>
      <c r="G4" s="17">
        <f>SUMIF('טבלת ניהול'!$A$3:$A$400,"כוונות ואופטיקה",'טבלת ניהול'!$H$3:$H$400)</f>
        <v/>
      </c>
      <c r="H4" s="17">
        <f>SUMIF('טבלת ניהול'!$A$3:$A$400,"כוונות ואופטיקה",'טבלת ניהול'!$I$3:$I$400)</f>
        <v/>
      </c>
      <c r="I4" s="17">
        <f>SUMIF('טבלת ניהול'!$A$3:$A$400,"כוונות ואופטיקה",'טבלת ניהול'!$J$3:$J$400)</f>
        <v/>
      </c>
      <c r="J4" s="17">
        <f>SUMIF('טבלת ניהול'!$A$3:$A$400,"כוונות ואופטיקה",'טבלת ניהול'!$K$3:$K$400)</f>
        <v/>
      </c>
    </row>
    <row r="5">
      <c r="A5" s="21" t="inlineStr">
        <is>
          <t>אמר"לים ותצפית</t>
        </is>
      </c>
      <c r="B5" s="17">
        <f>SUMIF('טבלת ניהול'!$A$3:$A$400,"אמר"לים ותצפית",'טבלת ניהול'!$C$3:$C$400)</f>
        <v/>
      </c>
      <c r="C5" s="17">
        <f>SUMIF('טבלת ניהול'!$A$3:$A$400,"אמר"לים ותצפית",'טבלת ניהול'!$D$3:$D$400)</f>
        <v/>
      </c>
      <c r="D5" s="17">
        <f>SUMIF('טבלת ניהול'!$A$3:$A$400,"אמר"לים ותצפית",'טבלת ניהול'!$E$3:$E$400)</f>
        <v/>
      </c>
      <c r="E5" s="17">
        <f>SUMIF('טבלת ניהול'!$A$3:$A$400,"אמר"לים ותצפית",'טבלת ניהול'!$F$3:$F$400)</f>
        <v/>
      </c>
      <c r="F5" s="17">
        <f>SUMIF('טבלת ניהול'!$A$3:$A$400,"אמר"לים ותצפית",'טבלת ניהול'!$G$3:$G$400)</f>
        <v/>
      </c>
      <c r="G5" s="17">
        <f>SUMIF('טבלת ניהול'!$A$3:$A$400,"אמר"לים ותצפית",'טבלת ניהול'!$H$3:$H$400)</f>
        <v/>
      </c>
      <c r="H5" s="17">
        <f>SUMIF('טבלת ניהול'!$A$3:$A$400,"אמר"לים ותצפית",'טבלת ניהול'!$I$3:$I$400)</f>
        <v/>
      </c>
      <c r="I5" s="17">
        <f>SUMIF('טבלת ניהול'!$A$3:$A$400,"אמר"לים ותצפית",'טבלת ניהול'!$J$3:$J$400)</f>
        <v/>
      </c>
      <c r="J5" s="17">
        <f>SUMIF('טבלת ניהול'!$A$3:$A$400,"אמר"לים ותצפית",'טבלת ניהול'!$K$3:$K$400)</f>
        <v/>
      </c>
    </row>
    <row r="6">
      <c r="A6" s="21" t="inlineStr">
        <is>
          <t>סמנים ומציינים</t>
        </is>
      </c>
      <c r="B6" s="17">
        <f>SUMIF('טבלת ניהול'!$A$3:$A$400,"סמנים ומציינים",'טבלת ניהול'!$C$3:$C$400)</f>
        <v/>
      </c>
      <c r="C6" s="17">
        <f>SUMIF('טבלת ניהול'!$A$3:$A$400,"סמנים ומציינים",'טבלת ניהול'!$D$3:$D$400)</f>
        <v/>
      </c>
      <c r="D6" s="17">
        <f>SUMIF('טבלת ניהול'!$A$3:$A$400,"סמנים ומציינים",'טבלת ניהול'!$E$3:$E$400)</f>
        <v/>
      </c>
      <c r="E6" s="17">
        <f>SUMIF('טבלת ניהול'!$A$3:$A$400,"סמנים ומציינים",'טבלת ניהול'!$F$3:$F$400)</f>
        <v/>
      </c>
      <c r="F6" s="17">
        <f>SUMIF('טבלת ניהול'!$A$3:$A$400,"סמנים ומציינים",'טבלת ניהול'!$G$3:$G$400)</f>
        <v/>
      </c>
      <c r="G6" s="17">
        <f>SUMIF('טבלת ניהול'!$A$3:$A$400,"סמנים ומציינים",'טבלת ניהול'!$H$3:$H$400)</f>
        <v/>
      </c>
      <c r="H6" s="17">
        <f>SUMIF('טבלת ניהול'!$A$3:$A$400,"סמנים ומציינים",'טבלת ניהול'!$I$3:$I$400)</f>
        <v/>
      </c>
      <c r="I6" s="17">
        <f>SUMIF('טבלת ניהול'!$A$3:$A$400,"סמנים ומציינים",'טבלת ניהול'!$J$3:$J$400)</f>
        <v/>
      </c>
      <c r="J6" s="17">
        <f>SUMIF('טבלת ניהול'!$A$3:$A$400,"סמנים ומציינים",'טבלת ניהול'!$K$3:$K$400)</f>
        <v/>
      </c>
    </row>
    <row r="7">
      <c r="A7" s="21" t="inlineStr">
        <is>
          <t>מט"ל ואבזור</t>
        </is>
      </c>
      <c r="B7" s="17">
        <f>SUMIF('טבלת ניהול'!$A$3:$A$400,"מט"ל ואבזור",'טבלת ניהול'!$C$3:$C$400)</f>
        <v/>
      </c>
      <c r="C7" s="17">
        <f>SUMIF('טבלת ניהול'!$A$3:$A$400,"מט"ל ואבזור",'טבלת ניהול'!$D$3:$D$400)</f>
        <v/>
      </c>
      <c r="D7" s="17">
        <f>SUMIF('טבלת ניהול'!$A$3:$A$400,"מט"ל ואבזור",'טבלת ניהול'!$E$3:$E$400)</f>
        <v/>
      </c>
      <c r="E7" s="17">
        <f>SUMIF('טבלת ניהול'!$A$3:$A$400,"מט"ל ואבזור",'טבלת ניהול'!$F$3:$F$400)</f>
        <v/>
      </c>
      <c r="F7" s="17">
        <f>SUMIF('טבלת ניהול'!$A$3:$A$400,"מט"ל ואבזור",'טבלת ניהול'!$G$3:$G$400)</f>
        <v/>
      </c>
      <c r="G7" s="17">
        <f>SUMIF('טבלת ניהול'!$A$3:$A$400,"מט"ל ואבזור",'טבלת ניהול'!$H$3:$H$400)</f>
        <v/>
      </c>
      <c r="H7" s="17">
        <f>SUMIF('טבלת ניהול'!$A$3:$A$400,"מט"ל ואבזור",'טבלת ניהול'!$I$3:$I$400)</f>
        <v/>
      </c>
      <c r="I7" s="17">
        <f>SUMIF('טבלת ניהול'!$A$3:$A$400,"מט"ל ואבזור",'טבלת ניהול'!$J$3:$J$400)</f>
        <v/>
      </c>
      <c r="J7" s="17">
        <f>SUMIF('טבלת ניהול'!$A$3:$A$400,"מט"ל ואבזור",'טבלת ניהול'!$K$3:$K$400)</f>
        <v/>
      </c>
    </row>
    <row r="8">
      <c r="A8" s="21" t="inlineStr">
        <is>
          <t>רחפנים</t>
        </is>
      </c>
      <c r="B8" s="17">
        <f>SUMIF('טבלת ניהול'!$A$3:$A$400,"רחפנים",'טבלת ניהול'!$C$3:$C$400)</f>
        <v/>
      </c>
      <c r="C8" s="17">
        <f>SUMIF('טבלת ניהול'!$A$3:$A$400,"רחפנים",'טבלת ניהול'!$D$3:$D$400)</f>
        <v/>
      </c>
      <c r="D8" s="17">
        <f>SUMIF('טבלת ניהול'!$A$3:$A$400,"רחפנים",'טבלת ניהול'!$E$3:$E$400)</f>
        <v/>
      </c>
      <c r="E8" s="17">
        <f>SUMIF('טבלת ניהול'!$A$3:$A$400,"רחפנים",'טבלת ניהול'!$F$3:$F$400)</f>
        <v/>
      </c>
      <c r="F8" s="17">
        <f>SUMIF('טבלת ניהול'!$A$3:$A$400,"רחפנים",'טבלת ניהול'!$G$3:$G$400)</f>
        <v/>
      </c>
      <c r="G8" s="17">
        <f>SUMIF('טבלת ניהול'!$A$3:$A$400,"רחפנים",'טבלת ניהול'!$H$3:$H$400)</f>
        <v/>
      </c>
      <c r="H8" s="17">
        <f>SUMIF('טבלת ניהול'!$A$3:$A$400,"רחפנים",'טבלת ניהול'!$I$3:$I$400)</f>
        <v/>
      </c>
      <c r="I8" s="17">
        <f>SUMIF('טבלת ניהול'!$A$3:$A$400,"רחפנים",'טבלת ניהול'!$J$3:$J$400)</f>
        <v/>
      </c>
      <c r="J8" s="17">
        <f>SUMIF('טבלת ניהול'!$A$3:$A$400,"רחפנים",'טבלת ניהול'!$K$3:$K$400)</f>
        <v/>
      </c>
    </row>
    <row r="9">
      <c r="A9" s="21" t="inlineStr">
        <is>
          <t>חשמל ואנרגיה</t>
        </is>
      </c>
      <c r="B9" s="17">
        <f>SUMIF('טבלת ניהול'!$A$3:$A$400,"חשמל ואנרגיה",'טבלת ניהול'!$C$3:$C$400)</f>
        <v/>
      </c>
      <c r="C9" s="17">
        <f>SUMIF('טבלת ניהול'!$A$3:$A$400,"חשמל ואנרגיה",'טבלת ניהול'!$D$3:$D$400)</f>
        <v/>
      </c>
      <c r="D9" s="17">
        <f>SUMIF('טבלת ניהול'!$A$3:$A$400,"חשמל ואנרגיה",'טבלת ניהול'!$E$3:$E$400)</f>
        <v/>
      </c>
      <c r="E9" s="17">
        <f>SUMIF('טבלת ניהול'!$A$3:$A$400,"חשמל ואנרגיה",'טבלת ניהול'!$F$3:$F$400)</f>
        <v/>
      </c>
      <c r="F9" s="17">
        <f>SUMIF('טבלת ניהול'!$A$3:$A$400,"חשמל ואנרגיה",'טבלת ניהול'!$G$3:$G$400)</f>
        <v/>
      </c>
      <c r="G9" s="17">
        <f>SUMIF('טבלת ניהול'!$A$3:$A$400,"חשמל ואנרגיה",'טבלת ניהול'!$H$3:$H$400)</f>
        <v/>
      </c>
      <c r="H9" s="17">
        <f>SUMIF('טבלת ניהול'!$A$3:$A$400,"חשמל ואנרגיה",'טבלת ניהול'!$I$3:$I$400)</f>
        <v/>
      </c>
      <c r="I9" s="17">
        <f>SUMIF('טבלת ניהול'!$A$3:$A$400,"חשמל ואנרגיה",'טבלת ניהול'!$J$3:$J$400)</f>
        <v/>
      </c>
      <c r="J9" s="17">
        <f>SUMIF('טבלת ניהול'!$A$3:$A$400,"חשמל ואנרגיה",'טבלת ניהול'!$K$3:$K$400)</f>
        <v/>
      </c>
    </row>
    <row r="10">
      <c r="A10" s="21" t="inlineStr">
        <is>
          <t>אחר</t>
        </is>
      </c>
      <c r="B10" s="17">
        <f>SUMIF('טבלת ניהול'!$A$3:$A$400,"אחר",'טבלת ניהול'!$C$3:$C$400)</f>
        <v/>
      </c>
      <c r="C10" s="17">
        <f>SUMIF('טבלת ניהול'!$A$3:$A$400,"אחר",'טבלת ניהול'!$D$3:$D$400)</f>
        <v/>
      </c>
      <c r="D10" s="17">
        <f>SUMIF('טבלת ניהול'!$A$3:$A$400,"אחר",'טבלת ניהול'!$E$3:$E$400)</f>
        <v/>
      </c>
      <c r="E10" s="17">
        <f>SUMIF('טבלת ניהול'!$A$3:$A$400,"אחר",'טבלת ניהול'!$F$3:$F$400)</f>
        <v/>
      </c>
      <c r="F10" s="17">
        <f>SUMIF('טבלת ניהול'!$A$3:$A$400,"אחר",'טבלת ניהול'!$G$3:$G$400)</f>
        <v/>
      </c>
      <c r="G10" s="17">
        <f>SUMIF('טבלת ניהול'!$A$3:$A$400,"אחר",'טבלת ניהול'!$H$3:$H$400)</f>
        <v/>
      </c>
      <c r="H10" s="17">
        <f>SUMIF('טבלת ניהול'!$A$3:$A$400,"אחר",'טבלת ניהול'!$I$3:$I$400)</f>
        <v/>
      </c>
      <c r="I10" s="17">
        <f>SUMIF('טבלת ניהול'!$A$3:$A$400,"אחר",'טבלת ניהול'!$J$3:$J$400)</f>
        <v/>
      </c>
      <c r="J10" s="17">
        <f>SUMIF('טבלת ניהול'!$A$3:$A$400,"אחר",'טבלת ניהול'!$K$3:$K$400)</f>
        <v/>
      </c>
    </row>
    <row r="11">
      <c r="A11" s="28" t="inlineStr">
        <is>
          <t>סה"כ</t>
        </is>
      </c>
      <c r="B11" s="29">
        <f>SUM(B3:B10)</f>
        <v/>
      </c>
      <c r="C11" s="29">
        <f>SUM(C3:C10)</f>
        <v/>
      </c>
      <c r="D11" s="29">
        <f>SUM(D3:D10)</f>
        <v/>
      </c>
      <c r="E11" s="29">
        <f>SUM(E3:E10)</f>
        <v/>
      </c>
      <c r="F11" s="29">
        <f>SUM(F3:F10)</f>
        <v/>
      </c>
      <c r="G11" s="29">
        <f>SUM(G3:G10)</f>
        <v/>
      </c>
      <c r="H11" s="29">
        <f>SUM(H3:H10)</f>
        <v/>
      </c>
      <c r="I11" s="29">
        <f>SUM(I3:I10)</f>
        <v/>
      </c>
      <c r="J11" s="29">
        <f>SUM(J3:J10)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rightToLeft="1" workbookViewId="0">
      <selection activeCell="A1" sqref="A1"/>
    </sheetView>
  </sheetViews>
  <sheetFormatPr baseColWidth="8" defaultRowHeight="15"/>
  <cols>
    <col width="20" customWidth="1" min="1" max="1"/>
    <col width="82" customWidth="1" min="2" max="2"/>
  </cols>
  <sheetData>
    <row r="1" ht="32" customHeight="1">
      <c r="A1" s="20" t="inlineStr">
        <is>
          <t>איך מעלים ומשתמשים ב-Google Sheets</t>
        </is>
      </c>
    </row>
    <row r="3">
      <c r="A3" s="30" t="inlineStr">
        <is>
          <t>העלאה נכונה</t>
        </is>
      </c>
      <c r="B3" s="16" t="inlineStr">
        <is>
          <t>אל תעתיק תאים. ב-Drive: New ◂ File upload ◂ קליק ימני על הקובץ ◂ Open with ◂ Google Sheets</t>
        </is>
      </c>
    </row>
    <row r="4">
      <c r="A4" s="21" t="inlineStr">
        <is>
          <t>חלופה</t>
        </is>
      </c>
      <c r="B4" s="16" t="inlineStr">
        <is>
          <t>בתוך גיליון: File ◂ Import ◂ Upload ◂ Insert new sheet(s) — שומר את הנוסחאות</t>
        </is>
      </c>
    </row>
    <row r="5">
      <c r="A5" s="21" t="inlineStr">
        <is>
          <t>עריכה</t>
        </is>
      </c>
      <c r="B5" s="16" t="inlineStr">
        <is>
          <t>ערוך רק בלשונית "טבלת ניהול": כמות אצל פלוגה, מלאי, מצאי — כל השאר מתעדכן לבד</t>
        </is>
      </c>
    </row>
    <row r="6">
      <c r="A6" s="21" t="inlineStr">
        <is>
          <t>הוספת פריט</t>
        </is>
      </c>
      <c r="B6" s="16" t="inlineStr">
        <is>
          <t>כתוב בשורה ריקה מתחת לרשימה — הנוסחאות כבר פרוסות עד שורה 400 ויחושבו מיד</t>
        </is>
      </c>
    </row>
    <row r="7">
      <c r="A7" s="21" t="inlineStr">
        <is>
          <t>קטגוריה</t>
        </is>
      </c>
      <c r="B7" s="16" t="inlineStr">
        <is>
          <t>בחר מרשימה נפתחת (Data validation עובר ב-import)</t>
        </is>
      </c>
    </row>
    <row r="8">
      <c r="A8" s="31" t="inlineStr">
        <is>
          <t>חוסר (אדום)</t>
        </is>
      </c>
      <c r="B8" s="16" t="inlineStr">
        <is>
          <t>סך הכל קטן מהמצאי הרשום</t>
        </is>
      </c>
    </row>
    <row r="9">
      <c r="A9" s="32" t="inlineStr">
        <is>
          <t>עודף (כתום)</t>
        </is>
      </c>
      <c r="B9" s="16" t="inlineStr">
        <is>
          <t>סך הכל גדול מהמצאי הרשום</t>
        </is>
      </c>
    </row>
    <row r="10">
      <c r="A10" s="33" t="inlineStr">
        <is>
          <t>תקין (ירוק)</t>
        </is>
      </c>
      <c r="B10" s="16" t="inlineStr">
        <is>
          <t>התאמה מלאה</t>
        </is>
      </c>
    </row>
    <row r="11">
      <c r="A11" s="34" t="inlineStr">
        <is>
          <t>אין מצאי (אפור)</t>
        </is>
      </c>
      <c r="B11" s="16" t="inlineStr">
        <is>
          <t>לא הוזן מצאי</t>
        </is>
      </c>
    </row>
    <row r="12">
      <c r="A12" s="21" t="inlineStr">
        <is>
          <t>הערה</t>
        </is>
      </c>
      <c r="B12" s="16" t="inlineStr">
        <is>
          <t>הקובץ נבנה בלי "טבלת Excel" כי Google Sheets לא תומך בהפניות מבניות (Otzma[...])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קטגוריות</t>
        </is>
      </c>
    </row>
    <row r="2">
      <c r="A2" t="inlineStr">
        <is>
          <t>נשק ומקלעים</t>
        </is>
      </c>
    </row>
    <row r="3">
      <c r="A3" t="inlineStr">
        <is>
          <t>כוונות ואופטיקה</t>
        </is>
      </c>
    </row>
    <row r="4">
      <c r="A4" t="inlineStr">
        <is>
          <t>אמר"לים ותצפית</t>
        </is>
      </c>
    </row>
    <row r="5">
      <c r="A5" t="inlineStr">
        <is>
          <t>סמנים ומציינים</t>
        </is>
      </c>
    </row>
    <row r="6">
      <c r="A6" t="inlineStr">
        <is>
          <t>מט"ל ואבזור</t>
        </is>
      </c>
    </row>
    <row r="7">
      <c r="A7" t="inlineStr">
        <is>
          <t>רחפנים</t>
        </is>
      </c>
    </row>
    <row r="8">
      <c r="A8" t="inlineStr">
        <is>
          <t>חשמל ואנרגיה</t>
        </is>
      </c>
    </row>
    <row r="9">
      <c r="A9" t="inlineStr">
        <is>
          <t>אחר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2026-06-08T19:50:27Z</dcterms:created>
  <dcterms:modified xsi:type="dcterms:W3CDTF">2026-06-08T19:50:27Z</dcterms:modified>
</cp:coreProperties>
</file>