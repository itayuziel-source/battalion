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b38be04ca5db51c/Desktop/צבא/לבנון קיץ 26/"/>
    </mc:Choice>
  </mc:AlternateContent>
  <xr:revisionPtr revIDLastSave="465" documentId="8_{0EE8E2CF-8355-4739-8518-7D4B596E8FF1}" xr6:coauthVersionLast="47" xr6:coauthVersionMax="47" xr10:uidLastSave="{5C53A686-4098-44E8-AA35-B27FA07FCC6E}"/>
  <bookViews>
    <workbookView xWindow="-108" yWindow="-108" windowWidth="23256" windowHeight="12456" xr2:uid="{00000000-000D-0000-FFFF-FFFF00000000}"/>
  </bookViews>
  <sheets>
    <sheet name="שבצק יציאות" sheetId="1" r:id="rId1"/>
    <sheet name="מקרא" sheetId="2" r:id="rId2"/>
    <sheet name="שיחות עם חיילים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1" i="1" l="1"/>
  <c r="V31" i="1"/>
  <c r="U31" i="1"/>
  <c r="Y31" i="1"/>
  <c r="W31" i="1"/>
  <c r="Z31" i="1"/>
  <c r="AA31" i="1"/>
  <c r="AB31" i="1"/>
  <c r="AC31" i="1"/>
  <c r="AD31" i="1"/>
  <c r="AE31" i="1"/>
  <c r="AF31" i="1"/>
  <c r="AG31" i="1"/>
  <c r="AH31" i="1"/>
  <c r="AI31" i="1"/>
  <c r="AJ31" i="1"/>
  <c r="T31" i="1"/>
  <c r="R31" i="1"/>
  <c r="S31" i="1"/>
  <c r="AK31" i="1"/>
  <c r="AL31" i="1"/>
  <c r="Q31" i="1"/>
  <c r="P31" i="1"/>
  <c r="E31" i="1"/>
  <c r="F31" i="1"/>
  <c r="G31" i="1"/>
  <c r="D31" i="1"/>
  <c r="H31" i="1"/>
  <c r="DB15" i="1"/>
  <c r="D34" i="1"/>
  <c r="D32" i="1"/>
  <c r="DB17" i="1"/>
  <c r="B30" i="3"/>
  <c r="B29" i="3"/>
  <c r="B31" i="3"/>
  <c r="DA34" i="1"/>
  <c r="CZ34" i="1"/>
  <c r="CY34" i="1"/>
  <c r="CX34" i="1"/>
  <c r="CW34" i="1"/>
  <c r="CV34" i="1"/>
  <c r="CU34" i="1"/>
  <c r="CT34" i="1"/>
  <c r="CS34" i="1"/>
  <c r="CR34" i="1"/>
  <c r="CQ34" i="1"/>
  <c r="CP34" i="1"/>
  <c r="CO34" i="1"/>
  <c r="CN34" i="1"/>
  <c r="CM34" i="1"/>
  <c r="CL34" i="1"/>
  <c r="CK34" i="1"/>
  <c r="CJ34" i="1"/>
  <c r="CI34" i="1"/>
  <c r="CH34" i="1"/>
  <c r="CG34" i="1"/>
  <c r="CF34" i="1"/>
  <c r="CE34" i="1"/>
  <c r="CD34" i="1"/>
  <c r="CC34" i="1"/>
  <c r="CB34" i="1"/>
  <c r="CA34" i="1"/>
  <c r="BZ34" i="1"/>
  <c r="BY34" i="1"/>
  <c r="BX34" i="1"/>
  <c r="BW34" i="1"/>
  <c r="BV34" i="1"/>
  <c r="BU34" i="1"/>
  <c r="BT34" i="1"/>
  <c r="BS34" i="1"/>
  <c r="BR34" i="1"/>
  <c r="BQ34" i="1"/>
  <c r="BP34" i="1"/>
  <c r="BO34" i="1"/>
  <c r="BN34" i="1"/>
  <c r="BM34" i="1"/>
  <c r="BL34" i="1"/>
  <c r="BK34" i="1"/>
  <c r="BJ34" i="1"/>
  <c r="BI34" i="1"/>
  <c r="BH34" i="1"/>
  <c r="BG34" i="1"/>
  <c r="BF34" i="1"/>
  <c r="BE34" i="1"/>
  <c r="BD34" i="1"/>
  <c r="BC34" i="1"/>
  <c r="BB34" i="1"/>
  <c r="BA34" i="1"/>
  <c r="AZ34" i="1"/>
  <c r="AY34" i="1"/>
  <c r="AX34" i="1"/>
  <c r="AW34" i="1"/>
  <c r="AV34" i="1"/>
  <c r="AU34" i="1"/>
  <c r="AT34" i="1"/>
  <c r="AS34" i="1"/>
  <c r="AR34" i="1"/>
  <c r="AQ34" i="1"/>
  <c r="AP34" i="1"/>
  <c r="AO34" i="1"/>
  <c r="AN34" i="1"/>
  <c r="AM34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DA33" i="1"/>
  <c r="CZ33" i="1"/>
  <c r="CY33" i="1"/>
  <c r="CX33" i="1"/>
  <c r="CW33" i="1"/>
  <c r="CV33" i="1"/>
  <c r="CU33" i="1"/>
  <c r="CT33" i="1"/>
  <c r="CS33" i="1"/>
  <c r="CR33" i="1"/>
  <c r="CQ33" i="1"/>
  <c r="CP33" i="1"/>
  <c r="CO33" i="1"/>
  <c r="CN33" i="1"/>
  <c r="CM33" i="1"/>
  <c r="CL33" i="1"/>
  <c r="CK33" i="1"/>
  <c r="CJ33" i="1"/>
  <c r="CI33" i="1"/>
  <c r="CH33" i="1"/>
  <c r="CG33" i="1"/>
  <c r="CF33" i="1"/>
  <c r="CE33" i="1"/>
  <c r="CD33" i="1"/>
  <c r="CC33" i="1"/>
  <c r="CB33" i="1"/>
  <c r="CA33" i="1"/>
  <c r="BZ33" i="1"/>
  <c r="BY33" i="1"/>
  <c r="BX33" i="1"/>
  <c r="BW33" i="1"/>
  <c r="BV33" i="1"/>
  <c r="BU33" i="1"/>
  <c r="BT33" i="1"/>
  <c r="BS33" i="1"/>
  <c r="BR33" i="1"/>
  <c r="BQ33" i="1"/>
  <c r="BP33" i="1"/>
  <c r="BO33" i="1"/>
  <c r="BN33" i="1"/>
  <c r="BM33" i="1"/>
  <c r="BL33" i="1"/>
  <c r="BK33" i="1"/>
  <c r="BJ33" i="1"/>
  <c r="BI33" i="1"/>
  <c r="BH33" i="1"/>
  <c r="BG33" i="1"/>
  <c r="BF33" i="1"/>
  <c r="BE33" i="1"/>
  <c r="BD33" i="1"/>
  <c r="BC33" i="1"/>
  <c r="BB33" i="1"/>
  <c r="BA33" i="1"/>
  <c r="AZ33" i="1"/>
  <c r="AY33" i="1"/>
  <c r="AX33" i="1"/>
  <c r="AW33" i="1"/>
  <c r="AV33" i="1"/>
  <c r="AU33" i="1"/>
  <c r="AT33" i="1"/>
  <c r="AS33" i="1"/>
  <c r="AR33" i="1"/>
  <c r="AQ33" i="1"/>
  <c r="AP33" i="1"/>
  <c r="AO33" i="1"/>
  <c r="AN33" i="1"/>
  <c r="AM33" i="1"/>
  <c r="AL33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D33" i="1"/>
  <c r="DA32" i="1"/>
  <c r="CZ32" i="1"/>
  <c r="CY32" i="1"/>
  <c r="CX32" i="1"/>
  <c r="CW32" i="1"/>
  <c r="CV32" i="1"/>
  <c r="CU32" i="1"/>
  <c r="CT32" i="1"/>
  <c r="CS32" i="1"/>
  <c r="CR32" i="1"/>
  <c r="CQ32" i="1"/>
  <c r="CP32" i="1"/>
  <c r="CO32" i="1"/>
  <c r="CN32" i="1"/>
  <c r="CM32" i="1"/>
  <c r="CL32" i="1"/>
  <c r="CK32" i="1"/>
  <c r="CJ32" i="1"/>
  <c r="CI32" i="1"/>
  <c r="CH32" i="1"/>
  <c r="CG32" i="1"/>
  <c r="CF32" i="1"/>
  <c r="CE32" i="1"/>
  <c r="CD32" i="1"/>
  <c r="CC32" i="1"/>
  <c r="CB32" i="1"/>
  <c r="CA32" i="1"/>
  <c r="BZ32" i="1"/>
  <c r="BY32" i="1"/>
  <c r="BX32" i="1"/>
  <c r="BW32" i="1"/>
  <c r="BV32" i="1"/>
  <c r="BU32" i="1"/>
  <c r="BT32" i="1"/>
  <c r="BS32" i="1"/>
  <c r="BR32" i="1"/>
  <c r="BQ32" i="1"/>
  <c r="BP32" i="1"/>
  <c r="BO32" i="1"/>
  <c r="BN32" i="1"/>
  <c r="BM32" i="1"/>
  <c r="BL32" i="1"/>
  <c r="BK32" i="1"/>
  <c r="BJ32" i="1"/>
  <c r="BI32" i="1"/>
  <c r="BH32" i="1"/>
  <c r="BG32" i="1"/>
  <c r="BF32" i="1"/>
  <c r="BE32" i="1"/>
  <c r="BD32" i="1"/>
  <c r="BC32" i="1"/>
  <c r="BB32" i="1"/>
  <c r="BA32" i="1"/>
  <c r="AZ32" i="1"/>
  <c r="AY32" i="1"/>
  <c r="AX32" i="1"/>
  <c r="AW32" i="1"/>
  <c r="AV32" i="1"/>
  <c r="AU32" i="1"/>
  <c r="AT32" i="1"/>
  <c r="AS32" i="1"/>
  <c r="AR32" i="1"/>
  <c r="AQ32" i="1"/>
  <c r="AP32" i="1"/>
  <c r="AO32" i="1"/>
  <c r="AN32" i="1"/>
  <c r="AM32" i="1"/>
  <c r="AL32" i="1"/>
  <c r="AK32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DA31" i="1"/>
  <c r="CZ31" i="1"/>
  <c r="CY31" i="1"/>
  <c r="CX31" i="1"/>
  <c r="CW31" i="1"/>
  <c r="CV31" i="1"/>
  <c r="CU31" i="1"/>
  <c r="CT31" i="1"/>
  <c r="CS31" i="1"/>
  <c r="CR31" i="1"/>
  <c r="CQ31" i="1"/>
  <c r="CP31" i="1"/>
  <c r="CO31" i="1"/>
  <c r="CN31" i="1"/>
  <c r="CM31" i="1"/>
  <c r="CL31" i="1"/>
  <c r="CK31" i="1"/>
  <c r="CJ31" i="1"/>
  <c r="CI31" i="1"/>
  <c r="CH31" i="1"/>
  <c r="CG31" i="1"/>
  <c r="CF31" i="1"/>
  <c r="CE31" i="1"/>
  <c r="CD31" i="1"/>
  <c r="CC31" i="1"/>
  <c r="CB31" i="1"/>
  <c r="CA31" i="1"/>
  <c r="BZ31" i="1"/>
  <c r="BY31" i="1"/>
  <c r="BX31" i="1"/>
  <c r="BW31" i="1"/>
  <c r="BV31" i="1"/>
  <c r="BU31" i="1"/>
  <c r="BT31" i="1"/>
  <c r="BS31" i="1"/>
  <c r="BR31" i="1"/>
  <c r="BQ31" i="1"/>
  <c r="BP31" i="1"/>
  <c r="BO31" i="1"/>
  <c r="BN31" i="1"/>
  <c r="BM31" i="1"/>
  <c r="BL31" i="1"/>
  <c r="BK31" i="1"/>
  <c r="BJ31" i="1"/>
  <c r="BI31" i="1"/>
  <c r="BH31" i="1"/>
  <c r="BG31" i="1"/>
  <c r="BF31" i="1"/>
  <c r="BE31" i="1"/>
  <c r="BD31" i="1"/>
  <c r="BC31" i="1"/>
  <c r="BB31" i="1"/>
  <c r="BA31" i="1"/>
  <c r="AZ31" i="1"/>
  <c r="AY31" i="1"/>
  <c r="AX31" i="1"/>
  <c r="AW31" i="1"/>
  <c r="AV31" i="1"/>
  <c r="AU31" i="1"/>
  <c r="AT31" i="1"/>
  <c r="AS31" i="1"/>
  <c r="AR31" i="1"/>
  <c r="AQ31" i="1"/>
  <c r="AP31" i="1"/>
  <c r="AO31" i="1"/>
  <c r="AN31" i="1"/>
  <c r="AM31" i="1"/>
  <c r="O31" i="1"/>
  <c r="N31" i="1"/>
  <c r="M31" i="1"/>
  <c r="L31" i="1"/>
  <c r="K31" i="1"/>
  <c r="J31" i="1"/>
  <c r="I31" i="1"/>
  <c r="DE30" i="1"/>
  <c r="DD30" i="1"/>
  <c r="DC30" i="1"/>
  <c r="DB30" i="1"/>
  <c r="DE29" i="1"/>
  <c r="DD29" i="1"/>
  <c r="DC29" i="1"/>
  <c r="DB29" i="1"/>
  <c r="DE28" i="1"/>
  <c r="DD28" i="1"/>
  <c r="DC28" i="1"/>
  <c r="DB28" i="1"/>
  <c r="DE27" i="1"/>
  <c r="DD27" i="1"/>
  <c r="DC27" i="1"/>
  <c r="DB27" i="1"/>
  <c r="DE26" i="1"/>
  <c r="DD26" i="1"/>
  <c r="DC26" i="1"/>
  <c r="DB26" i="1"/>
  <c r="DE25" i="1"/>
  <c r="DD25" i="1"/>
  <c r="DC25" i="1"/>
  <c r="DB25" i="1"/>
  <c r="DE24" i="1"/>
  <c r="DD24" i="1"/>
  <c r="DC24" i="1"/>
  <c r="DB24" i="1"/>
  <c r="DE23" i="1"/>
  <c r="DD23" i="1"/>
  <c r="DC23" i="1"/>
  <c r="DB23" i="1"/>
  <c r="DE22" i="1"/>
  <c r="DD22" i="1"/>
  <c r="DC22" i="1"/>
  <c r="DB22" i="1"/>
  <c r="DE21" i="1"/>
  <c r="DD21" i="1"/>
  <c r="DC21" i="1"/>
  <c r="DB21" i="1"/>
  <c r="DE20" i="1"/>
  <c r="DD20" i="1"/>
  <c r="DC20" i="1"/>
  <c r="DB20" i="1"/>
  <c r="DE19" i="1"/>
  <c r="DD19" i="1"/>
  <c r="DC19" i="1"/>
  <c r="DB19" i="1"/>
  <c r="DE18" i="1"/>
  <c r="DD18" i="1"/>
  <c r="DC18" i="1"/>
  <c r="DB18" i="1"/>
  <c r="DE17" i="1"/>
  <c r="DD17" i="1"/>
  <c r="DC17" i="1"/>
  <c r="DE16" i="1"/>
  <c r="DD16" i="1"/>
  <c r="DC16" i="1"/>
  <c r="DB16" i="1"/>
  <c r="DE15" i="1"/>
  <c r="DD15" i="1"/>
  <c r="DC15" i="1"/>
  <c r="DE14" i="1"/>
  <c r="DD14" i="1"/>
  <c r="DC14" i="1"/>
  <c r="DB14" i="1"/>
  <c r="DE13" i="1"/>
  <c r="DD13" i="1"/>
  <c r="DC13" i="1"/>
  <c r="DB13" i="1"/>
  <c r="DE12" i="1"/>
  <c r="DD12" i="1"/>
  <c r="DC12" i="1"/>
  <c r="DB12" i="1"/>
  <c r="DE11" i="1"/>
  <c r="DD11" i="1"/>
  <c r="DC11" i="1"/>
  <c r="DB11" i="1"/>
  <c r="DE10" i="1"/>
  <c r="DD10" i="1"/>
  <c r="DC10" i="1"/>
  <c r="DB10" i="1"/>
  <c r="DE9" i="1"/>
  <c r="DD9" i="1"/>
  <c r="DC9" i="1"/>
  <c r="DB9" i="1"/>
  <c r="DE8" i="1"/>
  <c r="DD8" i="1"/>
  <c r="DC8" i="1"/>
  <c r="DB8" i="1"/>
  <c r="DE7" i="1"/>
  <c r="DD7" i="1"/>
  <c r="DC7" i="1"/>
  <c r="DB7" i="1"/>
  <c r="DE6" i="1"/>
  <c r="DD6" i="1"/>
  <c r="DC6" i="1"/>
  <c r="DB6" i="1"/>
  <c r="DE5" i="1"/>
  <c r="DD5" i="1"/>
  <c r="DC5" i="1"/>
  <c r="DB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tc={903352F8-1553-42C8-947D-8861370E165B}</author>
    <author>tc={948B28DD-B6C9-4CE8-A56C-AA4CE7985D86}</author>
    <author>tc={580A088C-3036-4D0A-832D-8FC8213520F8}</author>
    <author>tc={14832521-90FF-4E33-8060-78218550A734}</author>
    <author>tc={3C9184BC-82ED-49D8-A704-028BDDE87D56}</author>
    <author>tc={D896A9A1-BB92-4E94-AAC1-2B38470A1118}</author>
    <author>tc={F9353E86-6F47-4B47-8975-E05172159CC4}</author>
    <author>tc={FBDD9A00-1401-4B05-B16F-70C59E57952B}</author>
    <author>tc={66BD0958-F850-45A9-B66D-97A0F82B5A69}</author>
    <author>tc={DA429160-6AB4-48BD-A188-68F41CAA364B}</author>
    <author>tc={5BD316FE-FA7B-4D67-8447-C63A7303906C}</author>
    <author>tc={622AD74F-7688-4458-994C-9F035FDC2E0B}</author>
    <author>tc={C0849E30-AF5A-4520-BBD7-13D339747FFF}</author>
  </authors>
  <commentList>
    <comment ref="AG5" authorId="0" shapeId="0" xr:uid="{903352F8-1553-42C8-947D-8861370E165B}">
      <text>
        <t xml:space="preserve"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דיון </t>
      </text>
    </comment>
    <comment ref="U6" authorId="1" shapeId="0" xr:uid="{948B28DD-B6C9-4CE8-A56C-AA4CE7985D86}">
      <text>
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מכולות</t>
      </text>
    </comment>
    <comment ref="U7" authorId="2" shapeId="0" xr:uid="{580A088C-3036-4D0A-832D-8FC8213520F8}">
      <text>
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מכולות</t>
      </text>
    </comment>
    <comment ref="V9" authorId="3" shapeId="0" xr:uid="{14832521-90FF-4E33-8060-78218550A734}">
      <text>
        <t xml:space="preserve"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חתונה
</t>
      </text>
    </comment>
    <comment ref="U14" authorId="4" shapeId="0" xr:uid="{3C9184BC-82ED-49D8-A704-028BDDE87D56}">
      <text>
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מכולות</t>
      </text>
    </comment>
    <comment ref="G18" authorId="5" shapeId="0" xr:uid="{D896A9A1-BB92-4E94-AAC1-2B38470A1118}">
      <text>
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מבחן בבוקר</t>
      </text>
    </comment>
    <comment ref="L18" authorId="6" shapeId="0" xr:uid="{F9353E86-6F47-4B47-8975-E05172159CC4}">
      <text>
        <t xml:space="preserve"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מגיע לבילו אחרי מבחן ו </t>
      </text>
    </comment>
    <comment ref="AM18" authorId="7" shapeId="0" xr:uid="{FBDD9A00-1401-4B05-B16F-70C59E57952B}">
      <text>
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מבחן</t>
      </text>
    </comment>
    <comment ref="AK25" authorId="8" shapeId="0" xr:uid="{66BD0958-F850-45A9-B66D-97A0F82B5A69}">
      <text>
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חתונה</t>
      </text>
    </comment>
    <comment ref="U26" authorId="9" shapeId="0" xr:uid="{DA429160-6AB4-48BD-A188-68F41CAA364B}">
      <text>
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מכולות ישן בבית</t>
      </text>
    </comment>
    <comment ref="AH26" authorId="10" shapeId="0" xr:uid="{5BD316FE-FA7B-4D67-8447-C63A7303906C}">
      <text>
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מבחן</t>
      </text>
    </comment>
    <comment ref="U29" authorId="11" shapeId="0" xr:uid="{622AD74F-7688-4458-994C-9F035FDC2E0B}">
      <text>
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מכולות יוצא לבית</t>
      </text>
    </comment>
    <comment ref="AG29" authorId="12" shapeId="0" xr:uid="{C0849E30-AF5A-4520-BBD7-13D339747FFF}">
      <text>
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מבחן</t>
      </text>
    </comment>
  </commentList>
</comments>
</file>

<file path=xl/sharedStrings.xml><?xml version="1.0" encoding="utf-8"?>
<sst xmlns="http://schemas.openxmlformats.org/spreadsheetml/2006/main" count="1105" uniqueCount="202">
  <si>
    <t>שבצק יציאות - קו הגנה סוריה</t>
  </si>
  <si>
    <t>יוני 2026</t>
  </si>
  <si>
    <t>יולי 2026</t>
  </si>
  <si>
    <t>אוגוסט 2026</t>
  </si>
  <si>
    <t>ספטמבר 2026</t>
  </si>
  <si>
    <t>שם</t>
  </si>
  <si>
    <t>תפקיד</t>
  </si>
  <si>
    <t>הערות</t>
  </si>
  <si>
    <t>24
ד</t>
  </si>
  <si>
    <t>25
ה</t>
  </si>
  <si>
    <t>26
ו</t>
  </si>
  <si>
    <t>27
ש</t>
  </si>
  <si>
    <t>28
א</t>
  </si>
  <si>
    <t>29
ב</t>
  </si>
  <si>
    <t>30
ג</t>
  </si>
  <si>
    <t>1
ד</t>
  </si>
  <si>
    <t>2
ה</t>
  </si>
  <si>
    <t>3
ו</t>
  </si>
  <si>
    <t>4
ש</t>
  </si>
  <si>
    <t>5
א</t>
  </si>
  <si>
    <t>6
ב</t>
  </si>
  <si>
    <t>7
ג</t>
  </si>
  <si>
    <t>8
ד</t>
  </si>
  <si>
    <t>9
ה</t>
  </si>
  <si>
    <t>10
ו</t>
  </si>
  <si>
    <t>11
ש</t>
  </si>
  <si>
    <t>12
א</t>
  </si>
  <si>
    <t>13
ב</t>
  </si>
  <si>
    <t>14
ג</t>
  </si>
  <si>
    <t>15
ד</t>
  </si>
  <si>
    <t>16
ה</t>
  </si>
  <si>
    <t>17
ו</t>
  </si>
  <si>
    <t>18
ש</t>
  </si>
  <si>
    <t>19
א</t>
  </si>
  <si>
    <t>20
ב</t>
  </si>
  <si>
    <t>21
ג</t>
  </si>
  <si>
    <t>22
ד</t>
  </si>
  <si>
    <t>23
ה</t>
  </si>
  <si>
    <t>24
ו</t>
  </si>
  <si>
    <t>25
ש</t>
  </si>
  <si>
    <t>26
א</t>
  </si>
  <si>
    <t>27
ב</t>
  </si>
  <si>
    <t>28
ג</t>
  </si>
  <si>
    <t>29
ד</t>
  </si>
  <si>
    <t>30
ה</t>
  </si>
  <si>
    <t>31
ו</t>
  </si>
  <si>
    <t>1
ש</t>
  </si>
  <si>
    <t>2
א</t>
  </si>
  <si>
    <t>3
ב</t>
  </si>
  <si>
    <t>4
ג</t>
  </si>
  <si>
    <t>5
ד</t>
  </si>
  <si>
    <t>6
ה</t>
  </si>
  <si>
    <t>7
ו</t>
  </si>
  <si>
    <t>8
ש</t>
  </si>
  <si>
    <t>9
א</t>
  </si>
  <si>
    <t>10
ב</t>
  </si>
  <si>
    <t>11
ג</t>
  </si>
  <si>
    <t>12
ד</t>
  </si>
  <si>
    <t>13
ה</t>
  </si>
  <si>
    <t>14
ו</t>
  </si>
  <si>
    <t>15
ש</t>
  </si>
  <si>
    <t>16
א</t>
  </si>
  <si>
    <t>17
ב</t>
  </si>
  <si>
    <t>18
ג</t>
  </si>
  <si>
    <t>19
ד</t>
  </si>
  <si>
    <t>20
ה</t>
  </si>
  <si>
    <t>21
ו</t>
  </si>
  <si>
    <t>22
ש</t>
  </si>
  <si>
    <t>23
א</t>
  </si>
  <si>
    <t>24
ב</t>
  </si>
  <si>
    <t>25
ג</t>
  </si>
  <si>
    <t>26
ד</t>
  </si>
  <si>
    <t>27
ה</t>
  </si>
  <si>
    <t>28
ו</t>
  </si>
  <si>
    <t>29
ש</t>
  </si>
  <si>
    <t>30
א</t>
  </si>
  <si>
    <t>31
ב</t>
  </si>
  <si>
    <t>1
ג</t>
  </si>
  <si>
    <t>2
ד</t>
  </si>
  <si>
    <t>3
ה</t>
  </si>
  <si>
    <t>4
ו</t>
  </si>
  <si>
    <t>5
ש</t>
  </si>
  <si>
    <t>6
א</t>
  </si>
  <si>
    <t>7
ב</t>
  </si>
  <si>
    <t>8
ג</t>
  </si>
  <si>
    <t>9
ד</t>
  </si>
  <si>
    <t>10
ה</t>
  </si>
  <si>
    <t>11
ו</t>
  </si>
  <si>
    <t>12
ש</t>
  </si>
  <si>
    <t>13
א</t>
  </si>
  <si>
    <t>14
ב</t>
  </si>
  <si>
    <t>15
ג</t>
  </si>
  <si>
    <t>16
ד</t>
  </si>
  <si>
    <t>17
ה</t>
  </si>
  <si>
    <t>18
ו</t>
  </si>
  <si>
    <t>19
ש</t>
  </si>
  <si>
    <t>20
א</t>
  </si>
  <si>
    <t>21
ב</t>
  </si>
  <si>
    <t>22
ג</t>
  </si>
  <si>
    <t>23
ד</t>
  </si>
  <si>
    <t>24
ה</t>
  </si>
  <si>
    <t>25
ו</t>
  </si>
  <si>
    <t>26
ש</t>
  </si>
  <si>
    <t>27
א</t>
  </si>
  <si>
    <t>28
ב</t>
  </si>
  <si>
    <t>29
ג</t>
  </si>
  <si>
    <t>30
ד</t>
  </si>
  <si>
    <t>ימי בסיס</t>
  </si>
  <si>
    <t>ימי בית</t>
  </si>
  <si>
    <t>סופ"ש בבית</t>
  </si>
  <si>
    <t>חגים בבית</t>
  </si>
  <si>
    <t>איתי עוזיאל</t>
  </si>
  <si>
    <t>קלג</t>
  </si>
  <si>
    <t>בסיס</t>
  </si>
  <si>
    <t>בית</t>
  </si>
  <si>
    <t>חופשה</t>
  </si>
  <si>
    <t>גימלים</t>
  </si>
  <si>
    <t>קורס</t>
  </si>
  <si>
    <t>ת״ש</t>
  </si>
  <si>
    <t>אורי עוזיאל</t>
  </si>
  <si>
    <t>ינון איזון</t>
  </si>
  <si>
    <t>שי ארנלדס</t>
  </si>
  <si>
    <t>איתי שמש</t>
  </si>
  <si>
    <t>אביעד כהן</t>
  </si>
  <si>
    <t>אזוגי נתנאל</t>
  </si>
  <si>
    <t>ניב סורוקר</t>
  </si>
  <si>
    <t>צבי לונדין</t>
  </si>
  <si>
    <t>יוסף חגואל</t>
  </si>
  <si>
    <t>אדם ממן</t>
  </si>
  <si>
    <t>גבריאל יעקוביאן</t>
  </si>
  <si>
    <t>יקיר אלימלך</t>
  </si>
  <si>
    <t>יוסי כהן</t>
  </si>
  <si>
    <t>רון בן שושן</t>
  </si>
  <si>
    <t>דוד שמחי</t>
  </si>
  <si>
    <t>לב גינזבורג</t>
  </si>
  <si>
    <t>יעקב גרמאי</t>
  </si>
  <si>
    <t>עידן אשטון</t>
  </si>
  <si>
    <t>דוד עבאדה</t>
  </si>
  <si>
    <t>אוראל קקון</t>
  </si>
  <si>
    <t>אלחנן טירי</t>
  </si>
  <si>
    <t>ארמיאס בלאציאו</t>
  </si>
  <si>
    <t>משה אברהם</t>
  </si>
  <si>
    <t>רון אוסטפוב</t>
  </si>
  <si>
    <t>סה"כ בבסיס</t>
  </si>
  <si>
    <t>נשקייה בבסיס</t>
  </si>
  <si>
    <t>אפסנאות בבסיס</t>
  </si>
  <si>
    <t>סה"כ בבית</t>
  </si>
  <si>
    <t>[דגל שבת]</t>
  </si>
  <si>
    <t>[דגל חג]</t>
  </si>
  <si>
    <t>הגדרות מצבה (ניתן לעריכה):</t>
  </si>
  <si>
    <t>מינימום בבסיס</t>
  </si>
  <si>
    <t>מינימום נשקייה</t>
  </si>
  <si>
    <t>מינימום אפסנאות</t>
  </si>
  <si>
    <t>מקרא - שבצק יציאות</t>
  </si>
  <si>
    <t>כותרת תאריך:</t>
  </si>
  <si>
    <t>שבת / ערב שבת</t>
  </si>
  <si>
    <t>חג</t>
  </si>
  <si>
    <t>סטטוס תא:</t>
  </si>
  <si>
    <t>התראות:</t>
  </si>
  <si>
    <t>מתחת לסף מצבה (אדום אוטומטי)</t>
  </si>
  <si>
    <t>ספי המצבה נקבעים בגיליון השבצק בבלוק "הגדרות מצבה".</t>
  </si>
  <si>
    <t>שיחות אישיות עם חיילים</t>
  </si>
  <si>
    <t>שוחחת?</t>
  </si>
  <si>
    <t>תאריך שיחה</t>
  </si>
  <si>
    <t>נושא</t>
  </si>
  <si>
    <t>סה"כ שוחחו:</t>
  </si>
  <si>
    <t>נותרו לשיחה:</t>
  </si>
  <si>
    <t>ס. קלג</t>
  </si>
  <si>
    <t>לוגיסטיקה</t>
  </si>
  <si>
    <t>מחתים</t>
  </si>
  <si>
    <t>רחפנים-מחתים</t>
  </si>
  <si>
    <t>לוגיסטיקה-בילו</t>
  </si>
  <si>
    <t>כן</t>
  </si>
  <si>
    <t>25.5.26</t>
  </si>
  <si>
    <t>27.5.26</t>
  </si>
  <si>
    <t xml:space="preserve">אוקטובר תחילת לימודים </t>
  </si>
  <si>
    <t>חתונה בשבוע חלוץ</t>
  </si>
  <si>
    <t xml:space="preserve">סטונדט -מבקש להתחשב בתקופת החגים </t>
  </si>
  <si>
    <t xml:space="preserve">סטודנט מבקש להתחשב בתקופת מבחנים </t>
  </si>
  <si>
    <t>28.5.26</t>
  </si>
  <si>
    <t xml:space="preserve">בעל עסק לעבודות ניקיון </t>
  </si>
  <si>
    <t xml:space="preserve">לא יגיע לכל הקו, תכננן טיסה לתאילנד עם הבת זוג , טיסה לאיטליה במהלך הקו </t>
  </si>
  <si>
    <t xml:space="preserve">נולדה בת ראשונה לפני שבוע ,מתחיל סטאז ב1.9 </t>
  </si>
  <si>
    <t>מבחן</t>
  </si>
  <si>
    <t>חלוץ</t>
  </si>
  <si>
    <t xml:space="preserve">חלוץ </t>
  </si>
  <si>
    <t xml:space="preserve">גיוס </t>
  </si>
  <si>
    <t xml:space="preserve">אלל </t>
  </si>
  <si>
    <t>לבנון</t>
  </si>
  <si>
    <t>אירוע ביום</t>
  </si>
  <si>
    <t>חלוץ צום</t>
  </si>
  <si>
    <t>גיוס מפקדים</t>
  </si>
  <si>
    <t>אלל</t>
  </si>
  <si>
    <t>ת. אחריות</t>
  </si>
  <si>
    <t>21
א</t>
  </si>
  <si>
    <t>22
ב</t>
  </si>
  <si>
    <t>23
ג</t>
  </si>
  <si>
    <t>X</t>
  </si>
  <si>
    <t>V</t>
  </si>
  <si>
    <t>חול</t>
  </si>
  <si>
    <t>?</t>
  </si>
  <si>
    <t xml:space="preserve">חול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</si>
</sst>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Arial"/>
      <family val="2"/>
      <scheme val="minor"/>
    </font>
    <font>
      <b/>
      <sz val="14"/>
      <color rgb="FFFFFFFF"/>
      <name val="Arial"/>
    </font>
    <font>
      <b/>
      <sz val="11"/>
      <color rgb="FFFFFFFF"/>
      <name val="Arial"/>
    </font>
    <font>
      <b/>
      <sz val="11"/>
      <name val="Arial"/>
    </font>
    <font>
      <sz val="11"/>
      <name val="Arial"/>
    </font>
    <font>
      <b/>
      <sz val="13"/>
      <name val="Arial"/>
    </font>
    <font>
      <i/>
      <sz val="8"/>
      <name val="Arial"/>
    </font>
    <font>
      <i/>
      <sz val="6"/>
      <name val="Arial"/>
      <family val="2"/>
    </font>
    <font>
      <sz val="9"/>
      <color indexed="81"/>
      <name val="Tahoma"/>
      <charset val="177"/>
    </font>
    <font>
      <b/>
      <sz val="11"/>
      <color rgb="FF000000"/>
      <name val="Arial"/>
    </font>
  </fonts>
  <fills count="1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FFFF00"/>
      </patternFill>
    </fill>
    <fill>
      <patternFill patternType="solid">
        <fgColor rgb="FFFFC000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C6EFCE"/>
      </patternFill>
    </fill>
    <fill>
      <patternFill patternType="solid">
        <fgColor rgb="FFA9D08E"/>
      </patternFill>
    </fill>
    <fill>
      <patternFill patternType="solid">
        <fgColor rgb="FFFFC7CE"/>
      </patternFill>
    </fill>
    <fill>
      <patternFill patternType="solid">
        <fgColor rgb="FFB4A7D6"/>
      </patternFill>
    </fill>
    <fill>
      <patternFill patternType="solid">
        <fgColor rgb="FFF8CBAD"/>
      </patternFill>
    </fill>
    <fill>
      <patternFill patternType="solid">
        <fgColor rgb="FFFF5050"/>
      </patternFill>
    </fill>
    <fill>
      <patternFill patternType="solid">
        <fgColor rgb="FFFF0000"/>
        <bgColor indexed="64"/>
      </patternFill>
    </fill>
    <fill>
      <patternFill patternType="solid">
        <fgColor rgb="FFFFF2CC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/>
    <xf numFmtId="0" fontId="3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0" fontId="0" fillId="0" borderId="0" xfId="0" applyAlignment="1">
      <alignment horizontal="right" vertical="center"/>
    </xf>
    <xf numFmtId="0" fontId="5" fillId="0" borderId="0" xfId="0" applyFont="1"/>
    <xf numFmtId="0" fontId="0" fillId="4" borderId="1" xfId="0" applyFill="1" applyBorder="1"/>
    <xf numFmtId="0" fontId="4" fillId="0" borderId="0" xfId="0" applyFont="1"/>
    <xf numFmtId="0" fontId="0" fillId="5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3" fillId="0" borderId="0" xfId="0" applyFont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center" vertical="center" wrapText="1"/>
    </xf>
    <xf numFmtId="0" fontId="0" fillId="14" borderId="1" xfId="0" applyFill="1" applyBorder="1"/>
    <xf numFmtId="0" fontId="7" fillId="15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3" fillId="16" borderId="1" xfId="0" applyFont="1" applyFill="1" applyBorder="1" applyAlignment="1">
      <alignment horizontal="center" vertical="center" wrapText="1"/>
    </xf>
    <xf numFmtId="0" fontId="9" fillId="1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1">
    <dxf>
      <font>
        <b/>
        <color rgb="FFFFFFFF"/>
      </font>
      <fill>
        <patternFill patternType="solid">
          <fgColor rgb="FFFF5050"/>
        </patternFill>
      </fill>
    </dxf>
    <dxf>
      <font>
        <b/>
        <color rgb="FFFFFFFF"/>
      </font>
      <fill>
        <patternFill patternType="solid">
          <fgColor rgb="FFFF5050"/>
        </patternFill>
      </fill>
    </dxf>
    <dxf>
      <font>
        <b/>
        <color rgb="FFFFFFFF"/>
      </font>
      <fill>
        <patternFill patternType="solid">
          <fgColor rgb="FFFF5050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BDD7EE"/>
          <bgColor rgb="FFBDD7E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</dxfs>
  <tableStyles count="1" defaultTableStyle="TableStyleMedium9" defaultPivotStyle="PivotStyleLight16">
    <tableStyle name="Invisible" pivot="0" table="0" count="0" xr9:uid="{D1D64241-141D-4861-92DF-676EFB76C12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איתי עוזיאל" id="{E05A0B43-D26F-4DCE-84A2-65F98C3A0D21}" userId="7b38be04ca5db51c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G5" dT="2026-05-29T07:53:41.69" personId="{E05A0B43-D26F-4DCE-84A2-65F98C3A0D21}" id="{903352F8-1553-42C8-947D-8861370E165B}">
    <text xml:space="preserve">דיון </text>
  </threadedComment>
  <threadedComment ref="U6" dT="2026-06-13T19:17:32.41" personId="{E05A0B43-D26F-4DCE-84A2-65F98C3A0D21}" id="{948B28DD-B6C9-4CE8-A56C-AA4CE7985D86}">
    <text>מכולות</text>
  </threadedComment>
  <threadedComment ref="U7" dT="2026-06-13T19:18:10.82" personId="{E05A0B43-D26F-4DCE-84A2-65F98C3A0D21}" id="{580A088C-3036-4D0A-832D-8FC8213520F8}">
    <text>מכולות</text>
  </threadedComment>
  <threadedComment ref="V9" dT="2026-06-13T19:30:22.96" personId="{E05A0B43-D26F-4DCE-84A2-65F98C3A0D21}" id="{14832521-90FF-4E33-8060-78218550A734}">
    <text xml:space="preserve">חתונה
</text>
  </threadedComment>
  <threadedComment ref="U14" dT="2026-06-13T19:18:10.82" personId="{E05A0B43-D26F-4DCE-84A2-65F98C3A0D21}" id="{3C9184BC-82ED-49D8-A704-028BDDE87D56}">
    <text>מכולות</text>
  </threadedComment>
  <threadedComment ref="G18" dT="2026-06-03T13:03:26.01" personId="{E05A0B43-D26F-4DCE-84A2-65F98C3A0D21}" id="{D896A9A1-BB92-4E94-AAC1-2B38470A1118}">
    <text>מבחן בבוקר</text>
  </threadedComment>
  <threadedComment ref="L18" dT="2026-05-29T07:19:04.17" personId="{E05A0B43-D26F-4DCE-84A2-65F98C3A0D21}" id="{F9353E86-6F47-4B47-8975-E05172159CC4}">
    <text xml:space="preserve">מגיע לבילו אחרי מבחן ו </text>
  </threadedComment>
  <threadedComment ref="AM18" dT="2026-06-13T20:04:55.61" personId="{E05A0B43-D26F-4DCE-84A2-65F98C3A0D21}" id="{FBDD9A00-1401-4B05-B16F-70C59E57952B}">
    <text>מבחן</text>
  </threadedComment>
  <threadedComment ref="AK25" dT="2026-06-13T19:42:20.13" personId="{E05A0B43-D26F-4DCE-84A2-65F98C3A0D21}" id="{66BD0958-F850-45A9-B66D-97A0F82B5A69}">
    <text>חתונה</text>
  </threadedComment>
  <threadedComment ref="U26" dT="2026-06-13T19:18:10.82" personId="{E05A0B43-D26F-4DCE-84A2-65F98C3A0D21}" id="{DA429160-6AB4-48BD-A188-68F41CAA364B}">
    <text>מכולות ישן בבית</text>
  </threadedComment>
  <threadedComment ref="AH26" dT="2026-06-13T19:48:40.00" personId="{E05A0B43-D26F-4DCE-84A2-65F98C3A0D21}" id="{5BD316FE-FA7B-4D67-8447-C63A7303906C}">
    <text>מבחן</text>
  </threadedComment>
  <threadedComment ref="U29" dT="2026-06-13T19:58:56.66" personId="{E05A0B43-D26F-4DCE-84A2-65F98C3A0D21}" id="{622AD74F-7688-4458-994C-9F035FDC2E0B}">
    <text>מכולות יוצא לבית</text>
  </threadedComment>
  <threadedComment ref="AG29" dT="2026-06-13T19:58:27.06" personId="{E05A0B43-D26F-4DCE-84A2-65F98C3A0D21}" id="{C0849E30-AF5A-4520-BBD7-13D339747FFF}">
    <text>מבחן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E41"/>
  <sheetViews>
    <sheetView rightToLeft="1" tabSelected="1" zoomScale="85" zoomScaleNormal="85" workbookViewId="0">
      <pane xSplit="3" ySplit="3" topLeftCell="R9" activePane="bottomRight" state="frozen"/>
      <selection pane="topRight"/>
      <selection pane="bottomLeft"/>
      <selection pane="bottomRight" activeCell="Y31" sqref="Y31"/>
    </sheetView>
  </sheetViews>
  <sheetFormatPr defaultRowHeight="13.8" x14ac:dyDescent="0.25"/>
  <cols>
    <col min="1" max="1" width="15.8984375" customWidth="1"/>
    <col min="2" max="3" width="14" customWidth="1"/>
    <col min="4" max="21" width="5" customWidth="1"/>
    <col min="22" max="100" width="6.69921875" customWidth="1"/>
    <col min="101" max="105" width="5" customWidth="1"/>
    <col min="106" max="109" width="8.8984375" customWidth="1"/>
  </cols>
  <sheetData>
    <row r="1" spans="1:109" x14ac:dyDescent="0.25">
      <c r="A1" s="32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0"/>
      <c r="BH1" s="30"/>
      <c r="BI1" s="30"/>
      <c r="BJ1" s="30"/>
      <c r="BK1" s="30"/>
      <c r="BL1" s="30"/>
      <c r="BM1" s="30"/>
      <c r="BN1" s="30"/>
      <c r="BO1" s="30"/>
      <c r="BP1" s="30"/>
      <c r="BQ1" s="30"/>
      <c r="BR1" s="30"/>
      <c r="BS1" s="30"/>
      <c r="BT1" s="30"/>
      <c r="BU1" s="30"/>
      <c r="BV1" s="30"/>
      <c r="BW1" s="30"/>
      <c r="BX1" s="30"/>
      <c r="BY1" s="30"/>
      <c r="BZ1" s="30"/>
      <c r="CA1" s="30"/>
      <c r="CB1" s="30"/>
      <c r="CC1" s="30"/>
      <c r="CD1" s="30"/>
      <c r="CE1" s="30"/>
      <c r="CF1" s="30"/>
      <c r="CG1" s="30"/>
      <c r="CH1" s="30"/>
      <c r="CI1" s="30"/>
      <c r="CJ1" s="30"/>
      <c r="CK1" s="30"/>
      <c r="CL1" s="30"/>
      <c r="CM1" s="30"/>
      <c r="CN1" s="30"/>
      <c r="CO1" s="30"/>
      <c r="CP1" s="30"/>
      <c r="CQ1" s="30"/>
      <c r="CR1" s="30"/>
      <c r="CS1" s="30"/>
      <c r="CT1" s="30"/>
      <c r="CU1" s="30"/>
      <c r="CV1" s="30"/>
      <c r="CW1" s="30"/>
      <c r="CX1" s="30"/>
      <c r="CY1" s="30"/>
      <c r="CZ1" s="30"/>
      <c r="DA1" s="30"/>
      <c r="DB1" s="30"/>
      <c r="DC1" s="30"/>
      <c r="DD1" s="30"/>
      <c r="DE1" s="30"/>
    </row>
    <row r="2" spans="1:109" x14ac:dyDescent="0.25">
      <c r="D2" s="29" t="s">
        <v>1</v>
      </c>
      <c r="E2" s="31"/>
      <c r="F2" s="31"/>
      <c r="G2" s="31"/>
      <c r="H2" s="30"/>
      <c r="I2" s="30"/>
      <c r="J2" s="30"/>
      <c r="K2" s="30"/>
      <c r="L2" s="30"/>
      <c r="M2" s="30"/>
      <c r="N2" s="29" t="s">
        <v>2</v>
      </c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29" t="s">
        <v>3</v>
      </c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0"/>
      <c r="BG2" s="30"/>
      <c r="BH2" s="30"/>
      <c r="BI2" s="30"/>
      <c r="BJ2" s="30"/>
      <c r="BK2" s="30"/>
      <c r="BL2" s="30"/>
      <c r="BM2" s="30"/>
      <c r="BN2" s="30"/>
      <c r="BO2" s="30"/>
      <c r="BP2" s="30"/>
      <c r="BQ2" s="30"/>
      <c r="BR2" s="30"/>
      <c r="BS2" s="30"/>
      <c r="BT2" s="30"/>
      <c r="BU2" s="30"/>
      <c r="BV2" s="30"/>
      <c r="BW2" s="30"/>
      <c r="BX2" s="29" t="s">
        <v>4</v>
      </c>
      <c r="BY2" s="30"/>
      <c r="BZ2" s="30"/>
      <c r="CA2" s="30"/>
      <c r="CB2" s="30"/>
      <c r="CC2" s="30"/>
      <c r="CD2" s="30"/>
      <c r="CE2" s="30"/>
      <c r="CF2" s="30"/>
      <c r="CG2" s="30"/>
      <c r="CH2" s="30"/>
      <c r="CI2" s="30"/>
      <c r="CJ2" s="30"/>
      <c r="CK2" s="30"/>
      <c r="CL2" s="30"/>
      <c r="CM2" s="30"/>
      <c r="CN2" s="30"/>
      <c r="CO2" s="30"/>
      <c r="CP2" s="30"/>
      <c r="CQ2" s="30"/>
      <c r="CR2" s="30"/>
      <c r="CS2" s="30"/>
      <c r="CT2" s="30"/>
      <c r="CU2" s="30"/>
      <c r="CV2" s="30"/>
      <c r="CW2" s="30"/>
      <c r="CX2" s="30"/>
      <c r="CY2" s="30"/>
      <c r="CZ2" s="30"/>
      <c r="DA2" s="30"/>
    </row>
    <row r="3" spans="1:109" ht="30" customHeight="1" x14ac:dyDescent="0.25">
      <c r="A3" s="1" t="s">
        <v>5</v>
      </c>
      <c r="B3" s="1" t="s">
        <v>6</v>
      </c>
      <c r="C3" s="1" t="s">
        <v>7</v>
      </c>
      <c r="D3" s="2" t="s">
        <v>194</v>
      </c>
      <c r="E3" s="2" t="s">
        <v>195</v>
      </c>
      <c r="F3" s="2" t="s">
        <v>196</v>
      </c>
      <c r="G3" s="2" t="s">
        <v>8</v>
      </c>
      <c r="H3" s="2" t="s">
        <v>9</v>
      </c>
      <c r="I3" s="3" t="s">
        <v>10</v>
      </c>
      <c r="J3" s="3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3" t="s">
        <v>17</v>
      </c>
      <c r="Q3" s="3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3" t="s">
        <v>24</v>
      </c>
      <c r="X3" s="3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3" t="s">
        <v>31</v>
      </c>
      <c r="AE3" s="3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3" t="s">
        <v>38</v>
      </c>
      <c r="AL3" s="3" t="s">
        <v>39</v>
      </c>
      <c r="AM3" s="2" t="s">
        <v>40</v>
      </c>
      <c r="AN3" s="2" t="s">
        <v>41</v>
      </c>
      <c r="AO3" s="2" t="s">
        <v>42</v>
      </c>
      <c r="AP3" s="2" t="s">
        <v>43</v>
      </c>
      <c r="AQ3" s="2" t="s">
        <v>44</v>
      </c>
      <c r="AR3" s="3" t="s">
        <v>45</v>
      </c>
      <c r="AS3" s="3" t="s">
        <v>46</v>
      </c>
      <c r="AT3" s="2" t="s">
        <v>47</v>
      </c>
      <c r="AU3" s="2" t="s">
        <v>48</v>
      </c>
      <c r="AV3" s="2" t="s">
        <v>49</v>
      </c>
      <c r="AW3" s="2" t="s">
        <v>50</v>
      </c>
      <c r="AX3" s="2" t="s">
        <v>51</v>
      </c>
      <c r="AY3" s="3" t="s">
        <v>52</v>
      </c>
      <c r="AZ3" s="3" t="s">
        <v>53</v>
      </c>
      <c r="BA3" s="2" t="s">
        <v>54</v>
      </c>
      <c r="BB3" s="2" t="s">
        <v>55</v>
      </c>
      <c r="BC3" s="2" t="s">
        <v>56</v>
      </c>
      <c r="BD3" s="2" t="s">
        <v>57</v>
      </c>
      <c r="BE3" s="2" t="s">
        <v>58</v>
      </c>
      <c r="BF3" s="3" t="s">
        <v>59</v>
      </c>
      <c r="BG3" s="3" t="s">
        <v>60</v>
      </c>
      <c r="BH3" s="2" t="s">
        <v>61</v>
      </c>
      <c r="BI3" s="2" t="s">
        <v>62</v>
      </c>
      <c r="BJ3" s="2" t="s">
        <v>63</v>
      </c>
      <c r="BK3" s="2" t="s">
        <v>64</v>
      </c>
      <c r="BL3" s="2" t="s">
        <v>65</v>
      </c>
      <c r="BM3" s="3" t="s">
        <v>66</v>
      </c>
      <c r="BN3" s="3" t="s">
        <v>67</v>
      </c>
      <c r="BO3" s="2" t="s">
        <v>68</v>
      </c>
      <c r="BP3" s="2" t="s">
        <v>69</v>
      </c>
      <c r="BQ3" s="2" t="s">
        <v>70</v>
      </c>
      <c r="BR3" s="2" t="s">
        <v>71</v>
      </c>
      <c r="BS3" s="2" t="s">
        <v>72</v>
      </c>
      <c r="BT3" s="3" t="s">
        <v>73</v>
      </c>
      <c r="BU3" s="3" t="s">
        <v>74</v>
      </c>
      <c r="BV3" s="2" t="s">
        <v>75</v>
      </c>
      <c r="BW3" s="2" t="s">
        <v>76</v>
      </c>
      <c r="BX3" s="2" t="s">
        <v>77</v>
      </c>
      <c r="BY3" s="2" t="s">
        <v>78</v>
      </c>
      <c r="BZ3" s="2" t="s">
        <v>79</v>
      </c>
      <c r="CA3" s="3" t="s">
        <v>80</v>
      </c>
      <c r="CB3" s="3" t="s">
        <v>81</v>
      </c>
      <c r="CC3" s="2" t="s">
        <v>82</v>
      </c>
      <c r="CD3" s="2" t="s">
        <v>83</v>
      </c>
      <c r="CE3" s="2" t="s">
        <v>84</v>
      </c>
      <c r="CF3" s="2" t="s">
        <v>85</v>
      </c>
      <c r="CG3" s="2" t="s">
        <v>86</v>
      </c>
      <c r="CH3" s="4" t="s">
        <v>87</v>
      </c>
      <c r="CI3" s="4" t="s">
        <v>88</v>
      </c>
      <c r="CJ3" s="4" t="s">
        <v>89</v>
      </c>
      <c r="CK3" s="2" t="s">
        <v>90</v>
      </c>
      <c r="CL3" s="2" t="s">
        <v>91</v>
      </c>
      <c r="CM3" s="2" t="s">
        <v>92</v>
      </c>
      <c r="CN3" s="2" t="s">
        <v>93</v>
      </c>
      <c r="CO3" s="3" t="s">
        <v>94</v>
      </c>
      <c r="CP3" s="3" t="s">
        <v>95</v>
      </c>
      <c r="CQ3" s="4" t="s">
        <v>96</v>
      </c>
      <c r="CR3" s="4" t="s">
        <v>97</v>
      </c>
      <c r="CS3" s="2" t="s">
        <v>98</v>
      </c>
      <c r="CT3" s="2" t="s">
        <v>99</v>
      </c>
      <c r="CU3" s="2" t="s">
        <v>100</v>
      </c>
      <c r="CV3" s="4" t="s">
        <v>101</v>
      </c>
      <c r="CW3" s="4" t="s">
        <v>102</v>
      </c>
      <c r="CX3" s="2" t="s">
        <v>103</v>
      </c>
      <c r="CY3" s="2" t="s">
        <v>104</v>
      </c>
      <c r="CZ3" s="2" t="s">
        <v>105</v>
      </c>
      <c r="DA3" s="2" t="s">
        <v>106</v>
      </c>
      <c r="DB3" s="1" t="s">
        <v>107</v>
      </c>
      <c r="DC3" s="1" t="s">
        <v>108</v>
      </c>
      <c r="DD3" s="1" t="s">
        <v>109</v>
      </c>
      <c r="DE3" s="1" t="s">
        <v>110</v>
      </c>
    </row>
    <row r="4" spans="1:109" ht="27.9" customHeight="1" x14ac:dyDescent="0.25">
      <c r="A4" s="29" t="s">
        <v>189</v>
      </c>
      <c r="B4" s="33"/>
      <c r="C4" s="34"/>
      <c r="D4" s="26" t="s">
        <v>184</v>
      </c>
      <c r="E4" s="26" t="s">
        <v>185</v>
      </c>
      <c r="F4" s="26" t="s">
        <v>185</v>
      </c>
      <c r="G4" s="26" t="s">
        <v>185</v>
      </c>
      <c r="H4" s="26" t="s">
        <v>184</v>
      </c>
      <c r="I4" s="26"/>
      <c r="J4" s="26"/>
      <c r="K4" s="26"/>
      <c r="L4" s="26"/>
      <c r="M4" s="26"/>
      <c r="N4" s="28" t="s">
        <v>191</v>
      </c>
      <c r="O4" s="26" t="s">
        <v>190</v>
      </c>
      <c r="P4" s="26" t="s">
        <v>184</v>
      </c>
      <c r="Q4" s="26" t="s">
        <v>185</v>
      </c>
      <c r="R4" s="26" t="s">
        <v>186</v>
      </c>
      <c r="S4" s="26" t="s">
        <v>192</v>
      </c>
      <c r="T4" s="26" t="s">
        <v>187</v>
      </c>
      <c r="U4" s="26" t="s">
        <v>193</v>
      </c>
      <c r="V4" s="26" t="s">
        <v>188</v>
      </c>
      <c r="W4" s="26" t="s">
        <v>188</v>
      </c>
      <c r="X4" s="26" t="s">
        <v>188</v>
      </c>
      <c r="Y4" s="26" t="s">
        <v>188</v>
      </c>
      <c r="Z4" s="26" t="s">
        <v>188</v>
      </c>
      <c r="AA4" s="26" t="s">
        <v>188</v>
      </c>
      <c r="AB4" s="26" t="s">
        <v>188</v>
      </c>
      <c r="AC4" s="26" t="s">
        <v>188</v>
      </c>
      <c r="AD4" s="26" t="s">
        <v>188</v>
      </c>
      <c r="AE4" s="26" t="s">
        <v>188</v>
      </c>
      <c r="AF4" s="26" t="s">
        <v>188</v>
      </c>
      <c r="AG4" s="26" t="s">
        <v>188</v>
      </c>
      <c r="AH4" s="26" t="s">
        <v>188</v>
      </c>
      <c r="AI4" s="26" t="s">
        <v>188</v>
      </c>
      <c r="AJ4" s="26" t="s">
        <v>188</v>
      </c>
      <c r="AK4" s="26" t="s">
        <v>188</v>
      </c>
      <c r="AL4" s="26" t="s">
        <v>188</v>
      </c>
      <c r="AM4" s="26" t="s">
        <v>188</v>
      </c>
      <c r="AN4" s="26" t="s">
        <v>188</v>
      </c>
      <c r="AO4" s="26" t="s">
        <v>188</v>
      </c>
      <c r="AP4" s="26" t="s">
        <v>188</v>
      </c>
      <c r="AQ4" s="26" t="s">
        <v>188</v>
      </c>
      <c r="AR4" s="26" t="s">
        <v>188</v>
      </c>
      <c r="AS4" s="26" t="s">
        <v>188</v>
      </c>
      <c r="AT4" s="26" t="s">
        <v>188</v>
      </c>
      <c r="AU4" s="26" t="s">
        <v>188</v>
      </c>
      <c r="AV4" s="26" t="s">
        <v>188</v>
      </c>
      <c r="AW4" s="26" t="s">
        <v>188</v>
      </c>
      <c r="AX4" s="26" t="s">
        <v>188</v>
      </c>
      <c r="AY4" s="26" t="s">
        <v>188</v>
      </c>
      <c r="AZ4" s="26" t="s">
        <v>188</v>
      </c>
      <c r="BA4" s="26" t="s">
        <v>188</v>
      </c>
      <c r="BB4" s="26" t="s">
        <v>188</v>
      </c>
      <c r="BC4" s="26" t="s">
        <v>188</v>
      </c>
      <c r="BD4" s="26" t="s">
        <v>188</v>
      </c>
      <c r="BE4" s="26" t="s">
        <v>188</v>
      </c>
      <c r="BF4" s="26" t="s">
        <v>188</v>
      </c>
      <c r="BG4" s="26" t="s">
        <v>188</v>
      </c>
      <c r="BH4" s="26" t="s">
        <v>188</v>
      </c>
      <c r="BI4" s="26" t="s">
        <v>188</v>
      </c>
      <c r="BJ4" s="26" t="s">
        <v>188</v>
      </c>
      <c r="BK4" s="26" t="s">
        <v>188</v>
      </c>
      <c r="BL4" s="26" t="s">
        <v>188</v>
      </c>
      <c r="BM4" s="26" t="s">
        <v>188</v>
      </c>
      <c r="BN4" s="26" t="s">
        <v>188</v>
      </c>
      <c r="BO4" s="26" t="s">
        <v>188</v>
      </c>
      <c r="BP4" s="26" t="s">
        <v>188</v>
      </c>
      <c r="BQ4" s="26" t="s">
        <v>188</v>
      </c>
      <c r="BR4" s="26" t="s">
        <v>188</v>
      </c>
      <c r="BS4" s="26" t="s">
        <v>188</v>
      </c>
      <c r="BT4" s="26" t="s">
        <v>188</v>
      </c>
      <c r="BU4" s="26" t="s">
        <v>188</v>
      </c>
      <c r="BV4" s="26" t="s">
        <v>188</v>
      </c>
      <c r="BW4" s="26" t="s">
        <v>188</v>
      </c>
      <c r="BX4" s="26" t="s">
        <v>188</v>
      </c>
      <c r="BY4" s="26" t="s">
        <v>188</v>
      </c>
      <c r="BZ4" s="26" t="s">
        <v>188</v>
      </c>
      <c r="CA4" s="26" t="s">
        <v>188</v>
      </c>
      <c r="CB4" s="26" t="s">
        <v>188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7"/>
      <c r="DC4" s="7"/>
      <c r="DD4" s="7"/>
      <c r="DE4" s="7"/>
    </row>
    <row r="5" spans="1:109" x14ac:dyDescent="0.25">
      <c r="A5" s="5" t="s">
        <v>111</v>
      </c>
      <c r="B5" s="6" t="s">
        <v>112</v>
      </c>
      <c r="C5" s="7" t="s">
        <v>198</v>
      </c>
      <c r="D5" s="8" t="s">
        <v>118</v>
      </c>
      <c r="E5" s="8" t="s">
        <v>118</v>
      </c>
      <c r="F5" s="8" t="s">
        <v>118</v>
      </c>
      <c r="G5" s="8" t="s">
        <v>118</v>
      </c>
      <c r="H5" s="8" t="s">
        <v>118</v>
      </c>
      <c r="I5" s="8"/>
      <c r="J5" s="8"/>
      <c r="K5" s="7"/>
      <c r="L5" s="7"/>
      <c r="M5" s="7"/>
      <c r="N5" s="8" t="s">
        <v>113</v>
      </c>
      <c r="O5" s="8" t="s">
        <v>113</v>
      </c>
      <c r="P5" s="8"/>
      <c r="Q5" s="8"/>
      <c r="R5" s="8" t="s">
        <v>113</v>
      </c>
      <c r="S5" s="8" t="s">
        <v>113</v>
      </c>
      <c r="T5" s="8" t="s">
        <v>113</v>
      </c>
      <c r="U5" s="8" t="s">
        <v>113</v>
      </c>
      <c r="V5" s="8" t="s">
        <v>113</v>
      </c>
      <c r="W5" s="8" t="s">
        <v>113</v>
      </c>
      <c r="X5" s="8" t="s">
        <v>113</v>
      </c>
      <c r="Y5" s="8" t="s">
        <v>113</v>
      </c>
      <c r="Z5" s="8" t="s">
        <v>113</v>
      </c>
      <c r="AA5" s="8" t="s">
        <v>113</v>
      </c>
      <c r="AB5" s="8" t="s">
        <v>113</v>
      </c>
      <c r="AC5" s="8" t="s">
        <v>113</v>
      </c>
      <c r="AD5" s="7" t="s">
        <v>115</v>
      </c>
      <c r="AE5" s="7" t="s">
        <v>115</v>
      </c>
      <c r="AF5" s="7" t="s">
        <v>115</v>
      </c>
      <c r="AG5" s="7" t="s">
        <v>114</v>
      </c>
      <c r="AH5" s="7" t="s">
        <v>115</v>
      </c>
      <c r="AI5" s="8" t="s">
        <v>113</v>
      </c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9">
        <f t="shared" ref="DB5:DB30" si="0">COUNTIF(D5:DA5,"בסיס")</f>
        <v>15</v>
      </c>
      <c r="DC5" s="9">
        <f t="shared" ref="DC5:DC30" si="1">COUNTIF(D5:DA5,"בית")</f>
        <v>1</v>
      </c>
      <c r="DD5" s="9">
        <f t="shared" ref="DD5:DD30" si="2">SUMPRODUCT($D$36:$DA$36,--(D5:DA5="בית"))</f>
        <v>0</v>
      </c>
      <c r="DE5" s="9">
        <f t="shared" ref="DE5:DE30" si="3">SUMPRODUCT($D$37:$DA$37,--(D5:DA5="בית"))</f>
        <v>0</v>
      </c>
    </row>
    <row r="6" spans="1:109" x14ac:dyDescent="0.25">
      <c r="A6" s="5" t="s">
        <v>119</v>
      </c>
      <c r="B6" s="6" t="s">
        <v>167</v>
      </c>
      <c r="C6" s="7" t="s">
        <v>198</v>
      </c>
      <c r="D6" s="8" t="s">
        <v>118</v>
      </c>
      <c r="E6" s="8" t="s">
        <v>118</v>
      </c>
      <c r="F6" s="8" t="s">
        <v>118</v>
      </c>
      <c r="G6" s="8" t="s">
        <v>118</v>
      </c>
      <c r="H6" s="8" t="s">
        <v>118</v>
      </c>
      <c r="I6" s="8"/>
      <c r="J6" s="8"/>
      <c r="K6" s="7"/>
      <c r="L6" s="7"/>
      <c r="M6" s="7"/>
      <c r="N6" s="8" t="s">
        <v>113</v>
      </c>
      <c r="O6" s="8" t="s">
        <v>113</v>
      </c>
      <c r="P6" s="8"/>
      <c r="Q6" s="8"/>
      <c r="R6" s="8" t="s">
        <v>113</v>
      </c>
      <c r="S6" s="8" t="s">
        <v>113</v>
      </c>
      <c r="T6" s="35" t="s">
        <v>113</v>
      </c>
      <c r="U6" s="8" t="s">
        <v>113</v>
      </c>
      <c r="V6" s="8" t="s">
        <v>113</v>
      </c>
      <c r="W6" s="7" t="s">
        <v>115</v>
      </c>
      <c r="X6" s="7" t="s">
        <v>115</v>
      </c>
      <c r="Y6" s="7" t="s">
        <v>115</v>
      </c>
      <c r="Z6" s="7" t="s">
        <v>115</v>
      </c>
      <c r="AA6" s="7" t="s">
        <v>115</v>
      </c>
      <c r="AB6" s="7" t="s">
        <v>115</v>
      </c>
      <c r="AC6" s="8" t="s">
        <v>113</v>
      </c>
      <c r="AD6" s="8" t="s">
        <v>113</v>
      </c>
      <c r="AE6" s="8" t="s">
        <v>113</v>
      </c>
      <c r="AF6" s="8" t="s">
        <v>113</v>
      </c>
      <c r="AG6" s="8" t="s">
        <v>113</v>
      </c>
      <c r="AH6" s="8" t="s">
        <v>113</v>
      </c>
      <c r="AI6" s="8" t="s">
        <v>113</v>
      </c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9">
        <f t="shared" si="0"/>
        <v>14</v>
      </c>
      <c r="DC6" s="9">
        <f t="shared" si="1"/>
        <v>0</v>
      </c>
      <c r="DD6" s="9">
        <f t="shared" si="2"/>
        <v>0</v>
      </c>
      <c r="DE6" s="9">
        <f t="shared" si="3"/>
        <v>0</v>
      </c>
    </row>
    <row r="7" spans="1:109" x14ac:dyDescent="0.25">
      <c r="A7" s="5" t="s">
        <v>120</v>
      </c>
      <c r="B7" s="6" t="s">
        <v>168</v>
      </c>
      <c r="C7" s="7" t="s">
        <v>198</v>
      </c>
      <c r="D7" s="8" t="s">
        <v>118</v>
      </c>
      <c r="E7" s="8" t="s">
        <v>118</v>
      </c>
      <c r="F7" s="8" t="s">
        <v>118</v>
      </c>
      <c r="G7" s="8" t="s">
        <v>118</v>
      </c>
      <c r="H7" s="8" t="s">
        <v>118</v>
      </c>
      <c r="I7" s="8"/>
      <c r="J7" s="8"/>
      <c r="K7" s="7"/>
      <c r="L7" s="7"/>
      <c r="M7" s="7"/>
      <c r="N7" s="8" t="s">
        <v>113</v>
      </c>
      <c r="O7" s="8" t="s">
        <v>113</v>
      </c>
      <c r="P7" s="8"/>
      <c r="Q7" s="8"/>
      <c r="R7" s="8" t="s">
        <v>113</v>
      </c>
      <c r="S7" s="8" t="s">
        <v>113</v>
      </c>
      <c r="T7" s="8" t="s">
        <v>113</v>
      </c>
      <c r="U7" s="8" t="s">
        <v>113</v>
      </c>
      <c r="V7" s="8" t="s">
        <v>113</v>
      </c>
      <c r="W7" s="8" t="s">
        <v>113</v>
      </c>
      <c r="X7" s="8" t="s">
        <v>113</v>
      </c>
      <c r="Y7" s="8" t="s">
        <v>113</v>
      </c>
      <c r="Z7" s="8" t="s">
        <v>113</v>
      </c>
      <c r="AA7" s="8" t="s">
        <v>113</v>
      </c>
      <c r="AB7" s="7" t="s">
        <v>115</v>
      </c>
      <c r="AC7" s="7" t="s">
        <v>115</v>
      </c>
      <c r="AD7" s="7" t="s">
        <v>115</v>
      </c>
      <c r="AE7" s="7" t="s">
        <v>115</v>
      </c>
      <c r="AF7" s="7" t="s">
        <v>115</v>
      </c>
      <c r="AG7" s="7" t="s">
        <v>115</v>
      </c>
      <c r="AH7" s="8" t="s">
        <v>113</v>
      </c>
      <c r="AI7" s="8" t="s">
        <v>113</v>
      </c>
      <c r="AJ7" s="8" t="s">
        <v>113</v>
      </c>
      <c r="AK7" s="8" t="s">
        <v>113</v>
      </c>
      <c r="AL7" s="8" t="s">
        <v>113</v>
      </c>
      <c r="AM7" s="8" t="s">
        <v>113</v>
      </c>
      <c r="AN7" s="8" t="s">
        <v>113</v>
      </c>
      <c r="AO7" s="8" t="s">
        <v>113</v>
      </c>
      <c r="AP7" s="8" t="s">
        <v>113</v>
      </c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9">
        <f t="shared" si="0"/>
        <v>21</v>
      </c>
      <c r="DC7" s="9">
        <f t="shared" si="1"/>
        <v>0</v>
      </c>
      <c r="DD7" s="9">
        <f t="shared" si="2"/>
        <v>0</v>
      </c>
      <c r="DE7" s="9">
        <f t="shared" si="3"/>
        <v>0</v>
      </c>
    </row>
    <row r="8" spans="1:109" x14ac:dyDescent="0.25">
      <c r="A8" s="5" t="s">
        <v>121</v>
      </c>
      <c r="B8" s="6" t="s">
        <v>169</v>
      </c>
      <c r="C8" s="7" t="s">
        <v>198</v>
      </c>
      <c r="D8" s="8" t="s">
        <v>118</v>
      </c>
      <c r="E8" s="8" t="s">
        <v>118</v>
      </c>
      <c r="F8" s="8" t="s">
        <v>118</v>
      </c>
      <c r="G8" s="8" t="s">
        <v>118</v>
      </c>
      <c r="H8" s="8" t="s">
        <v>118</v>
      </c>
      <c r="I8" s="7"/>
      <c r="J8" s="7"/>
      <c r="K8" s="7"/>
      <c r="L8" s="7"/>
      <c r="M8" s="7"/>
      <c r="N8" s="7"/>
      <c r="O8" s="8" t="s">
        <v>113</v>
      </c>
      <c r="P8" s="7"/>
      <c r="Q8" s="7"/>
      <c r="R8" s="8" t="s">
        <v>113</v>
      </c>
      <c r="S8" s="8" t="s">
        <v>113</v>
      </c>
      <c r="T8" s="8" t="s">
        <v>113</v>
      </c>
      <c r="U8" s="8" t="s">
        <v>113</v>
      </c>
      <c r="V8" s="8" t="s">
        <v>113</v>
      </c>
      <c r="W8" s="8" t="s">
        <v>113</v>
      </c>
      <c r="X8" s="8" t="s">
        <v>113</v>
      </c>
      <c r="Y8" s="8" t="s">
        <v>113</v>
      </c>
      <c r="Z8" s="8" t="s">
        <v>113</v>
      </c>
      <c r="AA8" s="7" t="s">
        <v>115</v>
      </c>
      <c r="AB8" s="7" t="s">
        <v>115</v>
      </c>
      <c r="AC8" s="7" t="s">
        <v>115</v>
      </c>
      <c r="AD8" s="7" t="s">
        <v>115</v>
      </c>
      <c r="AE8" s="7" t="s">
        <v>115</v>
      </c>
      <c r="AF8" s="7" t="s">
        <v>115</v>
      </c>
      <c r="AG8" s="7" t="s">
        <v>113</v>
      </c>
      <c r="AH8" s="7" t="s">
        <v>113</v>
      </c>
      <c r="AI8" s="7" t="s">
        <v>113</v>
      </c>
      <c r="AJ8" s="7" t="s">
        <v>113</v>
      </c>
      <c r="AK8" s="7" t="s">
        <v>113</v>
      </c>
      <c r="AL8" s="7" t="s">
        <v>113</v>
      </c>
      <c r="AM8" s="7" t="s">
        <v>113</v>
      </c>
      <c r="AN8" s="7" t="s">
        <v>113</v>
      </c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9">
        <f t="shared" si="0"/>
        <v>18</v>
      </c>
      <c r="DC8" s="9">
        <f t="shared" si="1"/>
        <v>0</v>
      </c>
      <c r="DD8" s="9">
        <f t="shared" si="2"/>
        <v>0</v>
      </c>
      <c r="DE8" s="9">
        <f t="shared" si="3"/>
        <v>0</v>
      </c>
    </row>
    <row r="9" spans="1:109" x14ac:dyDescent="0.25">
      <c r="A9" s="5" t="s">
        <v>122</v>
      </c>
      <c r="B9" s="6" t="s">
        <v>169</v>
      </c>
      <c r="C9" s="7" t="s">
        <v>198</v>
      </c>
      <c r="D9" s="8" t="s">
        <v>118</v>
      </c>
      <c r="E9" s="8" t="s">
        <v>118</v>
      </c>
      <c r="F9" s="8" t="s">
        <v>118</v>
      </c>
      <c r="G9" s="8" t="s">
        <v>118</v>
      </c>
      <c r="H9" s="8" t="s">
        <v>118</v>
      </c>
      <c r="I9" s="7"/>
      <c r="J9" s="7"/>
      <c r="K9" s="7"/>
      <c r="L9" s="7" t="s">
        <v>115</v>
      </c>
      <c r="M9" s="7"/>
      <c r="N9" s="7"/>
      <c r="O9" s="8" t="s">
        <v>113</v>
      </c>
      <c r="P9" s="7"/>
      <c r="Q9" s="7"/>
      <c r="R9" s="7" t="s">
        <v>113</v>
      </c>
      <c r="S9" s="7" t="s">
        <v>113</v>
      </c>
      <c r="T9" s="7" t="s">
        <v>113</v>
      </c>
      <c r="U9" s="7" t="s">
        <v>113</v>
      </c>
      <c r="V9" s="7" t="s">
        <v>115</v>
      </c>
      <c r="W9" s="7" t="s">
        <v>115</v>
      </c>
      <c r="X9" s="7" t="s">
        <v>115</v>
      </c>
      <c r="Y9" s="7" t="s">
        <v>115</v>
      </c>
      <c r="Z9" s="7" t="s">
        <v>115</v>
      </c>
      <c r="AA9" s="7" t="s">
        <v>115</v>
      </c>
      <c r="AB9" s="7" t="s">
        <v>113</v>
      </c>
      <c r="AC9" s="7" t="s">
        <v>113</v>
      </c>
      <c r="AD9" s="7" t="s">
        <v>113</v>
      </c>
      <c r="AE9" s="7" t="s">
        <v>113</v>
      </c>
      <c r="AF9" s="7" t="s">
        <v>113</v>
      </c>
      <c r="AG9" s="7" t="s">
        <v>113</v>
      </c>
      <c r="AH9" s="7" t="s">
        <v>113</v>
      </c>
      <c r="AI9" s="7" t="s">
        <v>113</v>
      </c>
      <c r="AJ9" s="7" t="s">
        <v>115</v>
      </c>
      <c r="AK9" s="7" t="s">
        <v>115</v>
      </c>
      <c r="AL9" s="7" t="s">
        <v>115</v>
      </c>
      <c r="AM9" s="7" t="s">
        <v>115</v>
      </c>
      <c r="AN9" s="7" t="s">
        <v>115</v>
      </c>
      <c r="AO9" s="7" t="s">
        <v>115</v>
      </c>
      <c r="AP9" s="7" t="s">
        <v>113</v>
      </c>
      <c r="AQ9" s="7" t="s">
        <v>113</v>
      </c>
      <c r="AR9" s="7" t="s">
        <v>113</v>
      </c>
      <c r="AS9" s="7" t="s">
        <v>113</v>
      </c>
      <c r="AT9" s="7" t="s">
        <v>113</v>
      </c>
      <c r="AU9" s="7" t="s">
        <v>113</v>
      </c>
      <c r="AV9" s="7" t="s">
        <v>113</v>
      </c>
      <c r="AW9" s="7" t="s">
        <v>113</v>
      </c>
      <c r="AX9" s="7" t="s">
        <v>115</v>
      </c>
      <c r="AY9" s="7" t="s">
        <v>115</v>
      </c>
      <c r="AZ9" s="7" t="s">
        <v>115</v>
      </c>
      <c r="BA9" s="7" t="s">
        <v>115</v>
      </c>
      <c r="BB9" s="7" t="s">
        <v>115</v>
      </c>
      <c r="BC9" s="7" t="s">
        <v>115</v>
      </c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9">
        <f t="shared" si="0"/>
        <v>21</v>
      </c>
      <c r="DC9" s="9">
        <f t="shared" si="1"/>
        <v>0</v>
      </c>
      <c r="DD9" s="9">
        <f t="shared" si="2"/>
        <v>0</v>
      </c>
      <c r="DE9" s="9">
        <f t="shared" si="3"/>
        <v>0</v>
      </c>
    </row>
    <row r="10" spans="1:109" x14ac:dyDescent="0.25">
      <c r="A10" s="5" t="s">
        <v>123</v>
      </c>
      <c r="B10" s="6" t="s">
        <v>169</v>
      </c>
      <c r="C10" s="7" t="s">
        <v>198</v>
      </c>
      <c r="D10" s="8" t="s">
        <v>118</v>
      </c>
      <c r="E10" s="8" t="s">
        <v>118</v>
      </c>
      <c r="F10" s="8" t="s">
        <v>118</v>
      </c>
      <c r="G10" s="8" t="s">
        <v>118</v>
      </c>
      <c r="H10" s="8" t="s">
        <v>118</v>
      </c>
      <c r="I10" s="7"/>
      <c r="J10" s="7"/>
      <c r="K10" s="7"/>
      <c r="L10" s="7"/>
      <c r="M10" s="7"/>
      <c r="N10" s="7"/>
      <c r="O10" s="8" t="s">
        <v>113</v>
      </c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9">
        <f t="shared" si="0"/>
        <v>1</v>
      </c>
      <c r="DC10" s="9">
        <f t="shared" si="1"/>
        <v>0</v>
      </c>
      <c r="DD10" s="9">
        <f t="shared" si="2"/>
        <v>0</v>
      </c>
      <c r="DE10" s="9">
        <f t="shared" si="3"/>
        <v>0</v>
      </c>
    </row>
    <row r="11" spans="1:109" x14ac:dyDescent="0.25">
      <c r="A11" s="5" t="s">
        <v>124</v>
      </c>
      <c r="B11" s="6" t="s">
        <v>168</v>
      </c>
      <c r="C11" s="7" t="s">
        <v>198</v>
      </c>
      <c r="D11" s="27" t="s">
        <v>197</v>
      </c>
      <c r="E11" s="27" t="s">
        <v>197</v>
      </c>
      <c r="F11" s="27" t="s">
        <v>197</v>
      </c>
      <c r="G11" s="27" t="s">
        <v>197</v>
      </c>
      <c r="H11" s="27" t="s">
        <v>197</v>
      </c>
      <c r="I11" s="7"/>
      <c r="J11" s="7"/>
      <c r="K11" s="7"/>
      <c r="L11" s="7"/>
      <c r="M11" s="7"/>
      <c r="N11" s="7"/>
      <c r="O11" s="8" t="s">
        <v>113</v>
      </c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9">
        <f t="shared" si="0"/>
        <v>1</v>
      </c>
      <c r="DC11" s="9">
        <f t="shared" si="1"/>
        <v>0</v>
      </c>
      <c r="DD11" s="9">
        <f t="shared" si="2"/>
        <v>0</v>
      </c>
      <c r="DE11" s="9">
        <f t="shared" si="3"/>
        <v>0</v>
      </c>
    </row>
    <row r="12" spans="1:109" x14ac:dyDescent="0.25">
      <c r="A12" s="5" t="s">
        <v>125</v>
      </c>
      <c r="B12" s="6" t="s">
        <v>168</v>
      </c>
      <c r="C12" s="7" t="s">
        <v>198</v>
      </c>
      <c r="D12" s="8" t="s">
        <v>118</v>
      </c>
      <c r="E12" s="8" t="s">
        <v>118</v>
      </c>
      <c r="F12" s="8" t="s">
        <v>118</v>
      </c>
      <c r="G12" s="8" t="s">
        <v>118</v>
      </c>
      <c r="H12" s="8" t="s">
        <v>118</v>
      </c>
      <c r="I12" s="7"/>
      <c r="J12" s="7"/>
      <c r="K12" s="7"/>
      <c r="L12" s="7"/>
      <c r="M12" s="7"/>
      <c r="N12" s="7"/>
      <c r="O12" s="8" t="s">
        <v>113</v>
      </c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9">
        <f t="shared" si="0"/>
        <v>1</v>
      </c>
      <c r="DC12" s="9">
        <f t="shared" si="1"/>
        <v>0</v>
      </c>
      <c r="DD12" s="9">
        <f t="shared" si="2"/>
        <v>0</v>
      </c>
      <c r="DE12" s="9">
        <f t="shared" si="3"/>
        <v>0</v>
      </c>
    </row>
    <row r="13" spans="1:109" x14ac:dyDescent="0.25">
      <c r="A13" s="5" t="s">
        <v>126</v>
      </c>
      <c r="B13" s="6" t="s">
        <v>168</v>
      </c>
      <c r="C13" s="7" t="s">
        <v>198</v>
      </c>
      <c r="D13" s="8" t="s">
        <v>118</v>
      </c>
      <c r="E13" s="8" t="s">
        <v>118</v>
      </c>
      <c r="F13" s="8" t="s">
        <v>118</v>
      </c>
      <c r="G13" s="8" t="s">
        <v>118</v>
      </c>
      <c r="H13" s="8" t="s">
        <v>118</v>
      </c>
      <c r="I13" s="8"/>
      <c r="J13" s="8"/>
      <c r="K13" s="8"/>
      <c r="L13" s="8"/>
      <c r="M13" s="8"/>
      <c r="N13" s="8"/>
      <c r="O13" s="8" t="s">
        <v>113</v>
      </c>
      <c r="P13" s="8"/>
      <c r="Q13" s="8"/>
      <c r="R13" s="8" t="s">
        <v>113</v>
      </c>
      <c r="S13" s="8" t="s">
        <v>113</v>
      </c>
      <c r="T13" s="8" t="s">
        <v>113</v>
      </c>
      <c r="U13" s="8" t="s">
        <v>113</v>
      </c>
      <c r="V13" s="8" t="s">
        <v>113</v>
      </c>
      <c r="W13" s="8" t="s">
        <v>113</v>
      </c>
      <c r="X13" s="8" t="s">
        <v>113</v>
      </c>
      <c r="Y13" s="8" t="s">
        <v>113</v>
      </c>
      <c r="Z13" s="7" t="s">
        <v>115</v>
      </c>
      <c r="AA13" s="7" t="s">
        <v>115</v>
      </c>
      <c r="AB13" s="7" t="s">
        <v>115</v>
      </c>
      <c r="AC13" s="7" t="s">
        <v>115</v>
      </c>
      <c r="AD13" s="7" t="s">
        <v>115</v>
      </c>
      <c r="AE13" s="7" t="s">
        <v>115</v>
      </c>
      <c r="AF13" s="8" t="s">
        <v>113</v>
      </c>
      <c r="AG13" s="8" t="s">
        <v>113</v>
      </c>
      <c r="AH13" s="8" t="s">
        <v>113</v>
      </c>
      <c r="AI13" s="8" t="s">
        <v>113</v>
      </c>
      <c r="AJ13" s="8" t="s">
        <v>113</v>
      </c>
      <c r="AK13" s="8" t="s">
        <v>113</v>
      </c>
      <c r="AL13" s="8" t="s">
        <v>113</v>
      </c>
      <c r="AM13" s="8" t="s">
        <v>113</v>
      </c>
      <c r="AN13" s="7" t="s">
        <v>115</v>
      </c>
      <c r="AO13" s="7" t="s">
        <v>115</v>
      </c>
      <c r="AP13" s="7" t="s">
        <v>115</v>
      </c>
      <c r="AQ13" s="7" t="s">
        <v>115</v>
      </c>
      <c r="AR13" s="7" t="s">
        <v>115</v>
      </c>
      <c r="AS13" s="7" t="s">
        <v>115</v>
      </c>
      <c r="AT13" s="8" t="s">
        <v>113</v>
      </c>
      <c r="AU13" s="8" t="s">
        <v>113</v>
      </c>
      <c r="AV13" s="8" t="s">
        <v>113</v>
      </c>
      <c r="AW13" s="8" t="s">
        <v>113</v>
      </c>
      <c r="AX13" s="8" t="s">
        <v>113</v>
      </c>
      <c r="AY13" s="8" t="s">
        <v>113</v>
      </c>
      <c r="AZ13" s="8" t="s">
        <v>113</v>
      </c>
      <c r="BA13" s="8" t="s">
        <v>113</v>
      </c>
      <c r="BB13" s="7" t="s">
        <v>115</v>
      </c>
      <c r="BC13" s="7" t="s">
        <v>115</v>
      </c>
      <c r="BD13" s="7" t="s">
        <v>115</v>
      </c>
      <c r="BE13" s="7" t="s">
        <v>115</v>
      </c>
      <c r="BF13" s="7" t="s">
        <v>115</v>
      </c>
      <c r="BG13" s="7" t="s">
        <v>115</v>
      </c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9">
        <f t="shared" si="0"/>
        <v>25</v>
      </c>
      <c r="DC13" s="9">
        <f t="shared" si="1"/>
        <v>0</v>
      </c>
      <c r="DD13" s="9">
        <f t="shared" si="2"/>
        <v>0</v>
      </c>
      <c r="DE13" s="9">
        <f t="shared" si="3"/>
        <v>0</v>
      </c>
    </row>
    <row r="14" spans="1:109" x14ac:dyDescent="0.25">
      <c r="A14" s="5" t="s">
        <v>127</v>
      </c>
      <c r="B14" s="6" t="s">
        <v>168</v>
      </c>
      <c r="C14" s="7" t="s">
        <v>198</v>
      </c>
      <c r="D14" s="8" t="s">
        <v>118</v>
      </c>
      <c r="E14" s="8" t="s">
        <v>118</v>
      </c>
      <c r="F14" s="8" t="s">
        <v>118</v>
      </c>
      <c r="G14" s="8" t="s">
        <v>118</v>
      </c>
      <c r="H14" s="8" t="s">
        <v>118</v>
      </c>
      <c r="I14" s="8"/>
      <c r="J14" s="8"/>
      <c r="K14" s="8"/>
      <c r="L14" s="8"/>
      <c r="M14" s="8"/>
      <c r="N14" s="8"/>
      <c r="O14" s="8" t="s">
        <v>113</v>
      </c>
      <c r="P14" s="8"/>
      <c r="Q14" s="8"/>
      <c r="R14" s="8" t="s">
        <v>113</v>
      </c>
      <c r="S14" s="8" t="s">
        <v>113</v>
      </c>
      <c r="T14" s="8" t="s">
        <v>113</v>
      </c>
      <c r="U14" s="8" t="s">
        <v>113</v>
      </c>
      <c r="V14" s="8" t="s">
        <v>113</v>
      </c>
      <c r="W14" s="8" t="s">
        <v>113</v>
      </c>
      <c r="X14" s="8" t="s">
        <v>113</v>
      </c>
      <c r="Y14" s="8" t="s">
        <v>113</v>
      </c>
      <c r="Z14" s="8" t="s">
        <v>113</v>
      </c>
      <c r="AA14" s="8" t="s">
        <v>113</v>
      </c>
      <c r="AB14" s="7" t="s">
        <v>115</v>
      </c>
      <c r="AC14" s="7" t="s">
        <v>115</v>
      </c>
      <c r="AD14" s="7" t="s">
        <v>115</v>
      </c>
      <c r="AE14" s="7" t="s">
        <v>115</v>
      </c>
      <c r="AF14" s="7" t="s">
        <v>115</v>
      </c>
      <c r="AG14" s="7" t="s">
        <v>115</v>
      </c>
      <c r="AH14" s="8" t="s">
        <v>113</v>
      </c>
      <c r="AI14" s="8" t="s">
        <v>113</v>
      </c>
      <c r="AJ14" s="8" t="s">
        <v>113</v>
      </c>
      <c r="AK14" s="8" t="s">
        <v>113</v>
      </c>
      <c r="AL14" s="8" t="s">
        <v>113</v>
      </c>
      <c r="AM14" s="8" t="s">
        <v>113</v>
      </c>
      <c r="AN14" s="8" t="s">
        <v>113</v>
      </c>
      <c r="AO14" s="8" t="s">
        <v>113</v>
      </c>
      <c r="AP14" s="8" t="s">
        <v>113</v>
      </c>
      <c r="AQ14" s="8" t="s">
        <v>113</v>
      </c>
      <c r="AR14" s="7" t="s">
        <v>115</v>
      </c>
      <c r="AS14" s="7" t="s">
        <v>115</v>
      </c>
      <c r="AT14" s="7" t="s">
        <v>115</v>
      </c>
      <c r="AU14" s="7" t="s">
        <v>115</v>
      </c>
      <c r="AV14" s="7" t="s">
        <v>115</v>
      </c>
      <c r="AW14" s="7" t="s">
        <v>115</v>
      </c>
      <c r="AX14" s="8" t="s">
        <v>113</v>
      </c>
      <c r="AY14" s="8" t="s">
        <v>113</v>
      </c>
      <c r="AZ14" s="8" t="s">
        <v>113</v>
      </c>
      <c r="BA14" s="8" t="s">
        <v>113</v>
      </c>
      <c r="BB14" s="8" t="s">
        <v>113</v>
      </c>
      <c r="BC14" s="8" t="s">
        <v>113</v>
      </c>
      <c r="BD14" s="8" t="s">
        <v>113</v>
      </c>
      <c r="BE14" s="8" t="s">
        <v>113</v>
      </c>
      <c r="BF14" s="8" t="s">
        <v>113</v>
      </c>
      <c r="BG14" s="8" t="s">
        <v>113</v>
      </c>
      <c r="BH14" s="8" t="s">
        <v>113</v>
      </c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9">
        <f t="shared" si="0"/>
        <v>32</v>
      </c>
      <c r="DC14" s="9">
        <f t="shared" si="1"/>
        <v>0</v>
      </c>
      <c r="DD14" s="9">
        <f t="shared" si="2"/>
        <v>0</v>
      </c>
      <c r="DE14" s="9">
        <f t="shared" si="3"/>
        <v>0</v>
      </c>
    </row>
    <row r="15" spans="1:109" x14ac:dyDescent="0.25">
      <c r="A15" s="5" t="s">
        <v>128</v>
      </c>
      <c r="B15" s="6" t="s">
        <v>168</v>
      </c>
      <c r="C15" s="7" t="s">
        <v>198</v>
      </c>
      <c r="D15" s="8" t="s">
        <v>118</v>
      </c>
      <c r="E15" s="8" t="s">
        <v>118</v>
      </c>
      <c r="F15" s="8" t="s">
        <v>118</v>
      </c>
      <c r="G15" s="8" t="s">
        <v>118</v>
      </c>
      <c r="H15" s="8" t="s">
        <v>118</v>
      </c>
      <c r="I15" s="7"/>
      <c r="J15" s="7"/>
      <c r="K15" s="7"/>
      <c r="L15" s="7"/>
      <c r="M15" s="7"/>
      <c r="N15" s="7"/>
      <c r="O15" s="8" t="s">
        <v>113</v>
      </c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9">
        <f t="shared" si="0"/>
        <v>1</v>
      </c>
      <c r="DC15" s="9">
        <f t="shared" si="1"/>
        <v>0</v>
      </c>
      <c r="DD15" s="9">
        <f t="shared" si="2"/>
        <v>0</v>
      </c>
      <c r="DE15" s="9">
        <f t="shared" si="3"/>
        <v>0</v>
      </c>
    </row>
    <row r="16" spans="1:109" x14ac:dyDescent="0.25">
      <c r="A16" s="5" t="s">
        <v>129</v>
      </c>
      <c r="B16" s="6" t="s">
        <v>168</v>
      </c>
      <c r="C16" s="7" t="s">
        <v>198</v>
      </c>
      <c r="D16" s="8" t="s">
        <v>118</v>
      </c>
      <c r="E16" s="8" t="s">
        <v>118</v>
      </c>
      <c r="F16" s="8" t="s">
        <v>118</v>
      </c>
      <c r="G16" s="8" t="s">
        <v>118</v>
      </c>
      <c r="H16" s="8" t="s">
        <v>118</v>
      </c>
      <c r="I16" s="7"/>
      <c r="J16" s="7"/>
      <c r="K16" s="7"/>
      <c r="L16" s="7"/>
      <c r="M16" s="7"/>
      <c r="N16" s="7"/>
      <c r="O16" s="8" t="s">
        <v>113</v>
      </c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9">
        <f t="shared" si="0"/>
        <v>1</v>
      </c>
      <c r="DC16" s="9">
        <f t="shared" si="1"/>
        <v>0</v>
      </c>
      <c r="DD16" s="9">
        <f t="shared" si="2"/>
        <v>0</v>
      </c>
      <c r="DE16" s="9">
        <f t="shared" si="3"/>
        <v>0</v>
      </c>
    </row>
    <row r="17" spans="1:109" x14ac:dyDescent="0.25">
      <c r="A17" s="5" t="s">
        <v>130</v>
      </c>
      <c r="B17" s="6" t="s">
        <v>168</v>
      </c>
      <c r="C17" s="7" t="s">
        <v>198</v>
      </c>
      <c r="D17" s="8" t="s">
        <v>118</v>
      </c>
      <c r="E17" s="8" t="s">
        <v>118</v>
      </c>
      <c r="F17" s="8" t="s">
        <v>118</v>
      </c>
      <c r="G17" s="8" t="s">
        <v>118</v>
      </c>
      <c r="H17" s="8" t="s">
        <v>118</v>
      </c>
      <c r="I17" s="7"/>
      <c r="J17" s="7"/>
      <c r="K17" s="7"/>
      <c r="L17" s="7"/>
      <c r="M17" s="7"/>
      <c r="N17" s="7"/>
      <c r="O17" s="8" t="s">
        <v>113</v>
      </c>
      <c r="P17" s="7"/>
      <c r="Q17" s="7"/>
      <c r="R17" s="8" t="s">
        <v>113</v>
      </c>
      <c r="S17" s="8" t="s">
        <v>113</v>
      </c>
      <c r="T17" s="8" t="s">
        <v>113</v>
      </c>
      <c r="U17" s="8" t="s">
        <v>113</v>
      </c>
      <c r="V17" s="8" t="s">
        <v>113</v>
      </c>
      <c r="W17" s="7" t="s">
        <v>115</v>
      </c>
      <c r="X17" s="7" t="s">
        <v>115</v>
      </c>
      <c r="Y17" s="7" t="s">
        <v>115</v>
      </c>
      <c r="Z17" s="7" t="s">
        <v>115</v>
      </c>
      <c r="AA17" s="7" t="s">
        <v>115</v>
      </c>
      <c r="AB17" s="7" t="s">
        <v>115</v>
      </c>
      <c r="AC17" s="8" t="s">
        <v>113</v>
      </c>
      <c r="AD17" s="8" t="s">
        <v>113</v>
      </c>
      <c r="AE17" s="8" t="s">
        <v>113</v>
      </c>
      <c r="AF17" s="8" t="s">
        <v>113</v>
      </c>
      <c r="AG17" s="8" t="s">
        <v>113</v>
      </c>
      <c r="AH17" s="8" t="s">
        <v>113</v>
      </c>
      <c r="AI17" s="8" t="s">
        <v>113</v>
      </c>
      <c r="AJ17" s="8" t="s">
        <v>113</v>
      </c>
      <c r="AK17" s="7" t="s">
        <v>115</v>
      </c>
      <c r="AL17" s="7" t="s">
        <v>115</v>
      </c>
      <c r="AM17" s="7" t="s">
        <v>115</v>
      </c>
      <c r="AN17" s="7" t="s">
        <v>115</v>
      </c>
      <c r="AO17" s="7" t="s">
        <v>115</v>
      </c>
      <c r="AP17" s="7" t="s">
        <v>115</v>
      </c>
      <c r="AQ17" s="8" t="s">
        <v>113</v>
      </c>
      <c r="AR17" s="8" t="s">
        <v>113</v>
      </c>
      <c r="AS17" s="8" t="s">
        <v>113</v>
      </c>
      <c r="AT17" s="8" t="s">
        <v>113</v>
      </c>
      <c r="AU17" s="8" t="s">
        <v>113</v>
      </c>
      <c r="AV17" s="8" t="s">
        <v>113</v>
      </c>
      <c r="AW17" s="8" t="s">
        <v>113</v>
      </c>
      <c r="AX17" s="8" t="s">
        <v>113</v>
      </c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9">
        <f t="shared" si="0"/>
        <v>22</v>
      </c>
      <c r="DC17" s="9">
        <f t="shared" si="1"/>
        <v>0</v>
      </c>
      <c r="DD17" s="9">
        <f t="shared" si="2"/>
        <v>0</v>
      </c>
      <c r="DE17" s="9">
        <f t="shared" si="3"/>
        <v>0</v>
      </c>
    </row>
    <row r="18" spans="1:109" x14ac:dyDescent="0.25">
      <c r="A18" s="5" t="s">
        <v>131</v>
      </c>
      <c r="B18" s="6" t="s">
        <v>170</v>
      </c>
      <c r="C18" s="7" t="s">
        <v>198</v>
      </c>
      <c r="D18" s="7"/>
      <c r="E18" s="7"/>
      <c r="F18" s="7"/>
      <c r="G18" s="7" t="s">
        <v>113</v>
      </c>
      <c r="H18" s="7" t="s">
        <v>113</v>
      </c>
      <c r="I18" s="7"/>
      <c r="J18" s="7"/>
      <c r="K18" s="7"/>
      <c r="L18" s="7"/>
      <c r="M18" s="7"/>
      <c r="N18" s="7"/>
      <c r="O18" s="8" t="s">
        <v>113</v>
      </c>
      <c r="P18" s="7"/>
      <c r="Q18" s="7"/>
      <c r="R18" s="7" t="s">
        <v>113</v>
      </c>
      <c r="S18" s="7" t="s">
        <v>113</v>
      </c>
      <c r="T18" s="7" t="s">
        <v>113</v>
      </c>
      <c r="U18" s="7" t="s">
        <v>183</v>
      </c>
      <c r="V18" s="7" t="s">
        <v>115</v>
      </c>
      <c r="W18" s="7" t="s">
        <v>115</v>
      </c>
      <c r="X18" s="7" t="s">
        <v>115</v>
      </c>
      <c r="Y18" s="7" t="s">
        <v>183</v>
      </c>
      <c r="Z18" s="7" t="s">
        <v>115</v>
      </c>
      <c r="AA18" s="7" t="s">
        <v>115</v>
      </c>
      <c r="AB18" s="7" t="s">
        <v>183</v>
      </c>
      <c r="AC18" s="8" t="s">
        <v>113</v>
      </c>
      <c r="AD18" s="8" t="s">
        <v>113</v>
      </c>
      <c r="AE18" s="8" t="s">
        <v>113</v>
      </c>
      <c r="AF18" s="7" t="s">
        <v>183</v>
      </c>
      <c r="AG18" s="8" t="s">
        <v>113</v>
      </c>
      <c r="AH18" s="8" t="s">
        <v>113</v>
      </c>
      <c r="AI18" s="8" t="s">
        <v>113</v>
      </c>
      <c r="AJ18" s="8" t="s">
        <v>113</v>
      </c>
      <c r="AK18" s="8" t="s">
        <v>113</v>
      </c>
      <c r="AL18" s="8" t="s">
        <v>113</v>
      </c>
      <c r="AM18" s="7" t="s">
        <v>115</v>
      </c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9">
        <f t="shared" si="0"/>
        <v>15</v>
      </c>
      <c r="DC18" s="9">
        <f t="shared" si="1"/>
        <v>0</v>
      </c>
      <c r="DD18" s="9">
        <f t="shared" si="2"/>
        <v>0</v>
      </c>
      <c r="DE18" s="9">
        <f t="shared" si="3"/>
        <v>0</v>
      </c>
    </row>
    <row r="19" spans="1:109" x14ac:dyDescent="0.25">
      <c r="A19" s="5" t="s">
        <v>132</v>
      </c>
      <c r="B19" s="6" t="s">
        <v>169</v>
      </c>
      <c r="C19" s="7" t="s">
        <v>198</v>
      </c>
      <c r="D19" s="8" t="s">
        <v>118</v>
      </c>
      <c r="E19" s="8" t="s">
        <v>118</v>
      </c>
      <c r="F19" s="8" t="s">
        <v>118</v>
      </c>
      <c r="G19" s="8" t="s">
        <v>118</v>
      </c>
      <c r="H19" s="8" t="s">
        <v>118</v>
      </c>
      <c r="I19" s="7"/>
      <c r="J19" s="7"/>
      <c r="K19" s="7"/>
      <c r="L19" s="7"/>
      <c r="M19" s="7"/>
      <c r="N19" s="7"/>
      <c r="O19" s="8" t="s">
        <v>113</v>
      </c>
      <c r="P19" s="7"/>
      <c r="Q19" s="7"/>
      <c r="R19" s="8" t="s">
        <v>113</v>
      </c>
      <c r="S19" s="8" t="s">
        <v>113</v>
      </c>
      <c r="T19" s="8" t="s">
        <v>113</v>
      </c>
      <c r="U19" s="8" t="s">
        <v>113</v>
      </c>
      <c r="V19" s="8" t="s">
        <v>113</v>
      </c>
      <c r="W19" s="8" t="s">
        <v>113</v>
      </c>
      <c r="X19" s="8" t="s">
        <v>113</v>
      </c>
      <c r="Y19" s="8" t="s">
        <v>113</v>
      </c>
      <c r="Z19" s="8" t="s">
        <v>113</v>
      </c>
      <c r="AA19" s="7" t="s">
        <v>115</v>
      </c>
      <c r="AB19" s="7" t="s">
        <v>115</v>
      </c>
      <c r="AC19" s="7" t="s">
        <v>115</v>
      </c>
      <c r="AD19" s="7" t="s">
        <v>115</v>
      </c>
      <c r="AE19" s="7" t="s">
        <v>115</v>
      </c>
      <c r="AF19" s="7" t="s">
        <v>115</v>
      </c>
      <c r="AG19" s="8" t="s">
        <v>113</v>
      </c>
      <c r="AH19" s="8" t="s">
        <v>113</v>
      </c>
      <c r="AI19" s="8" t="s">
        <v>113</v>
      </c>
      <c r="AJ19" s="8" t="s">
        <v>113</v>
      </c>
      <c r="AK19" s="8" t="s">
        <v>113</v>
      </c>
      <c r="AL19" s="8" t="s">
        <v>113</v>
      </c>
      <c r="AM19" s="8" t="s">
        <v>113</v>
      </c>
      <c r="AN19" s="8" t="s">
        <v>113</v>
      </c>
      <c r="AO19" s="8" t="s">
        <v>113</v>
      </c>
      <c r="AP19" s="7" t="s">
        <v>115</v>
      </c>
      <c r="AQ19" s="7" t="s">
        <v>115</v>
      </c>
      <c r="AR19" s="7" t="s">
        <v>115</v>
      </c>
      <c r="AS19" s="7" t="s">
        <v>115</v>
      </c>
      <c r="AT19" s="7" t="s">
        <v>115</v>
      </c>
      <c r="AU19" s="7" t="s">
        <v>115</v>
      </c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9">
        <f t="shared" si="0"/>
        <v>19</v>
      </c>
      <c r="DC19" s="9">
        <f t="shared" si="1"/>
        <v>0</v>
      </c>
      <c r="DD19" s="9">
        <f t="shared" si="2"/>
        <v>0</v>
      </c>
      <c r="DE19" s="9">
        <f t="shared" si="3"/>
        <v>0</v>
      </c>
    </row>
    <row r="20" spans="1:109" x14ac:dyDescent="0.25">
      <c r="A20" s="5" t="s">
        <v>133</v>
      </c>
      <c r="B20" s="6" t="s">
        <v>168</v>
      </c>
      <c r="C20" s="7" t="s">
        <v>198</v>
      </c>
      <c r="D20" s="8" t="s">
        <v>118</v>
      </c>
      <c r="E20" s="8" t="s">
        <v>118</v>
      </c>
      <c r="F20" s="8" t="s">
        <v>118</v>
      </c>
      <c r="G20" s="8" t="s">
        <v>118</v>
      </c>
      <c r="H20" s="8" t="s">
        <v>118</v>
      </c>
      <c r="I20" s="8"/>
      <c r="J20" s="8"/>
      <c r="K20" s="8"/>
      <c r="L20" s="8"/>
      <c r="M20" s="8"/>
      <c r="N20" s="8"/>
      <c r="O20" s="8" t="s">
        <v>113</v>
      </c>
      <c r="P20" s="8"/>
      <c r="Q20" s="8"/>
      <c r="R20" s="8" t="s">
        <v>113</v>
      </c>
      <c r="S20" s="8" t="s">
        <v>113</v>
      </c>
      <c r="T20" s="8" t="s">
        <v>113</v>
      </c>
      <c r="U20" s="8" t="s">
        <v>113</v>
      </c>
      <c r="V20" s="7" t="s">
        <v>115</v>
      </c>
      <c r="W20" s="7" t="s">
        <v>115</v>
      </c>
      <c r="X20" s="7" t="s">
        <v>115</v>
      </c>
      <c r="Y20" s="8" t="s">
        <v>113</v>
      </c>
      <c r="Z20" s="8" t="s">
        <v>113</v>
      </c>
      <c r="AA20" s="8" t="s">
        <v>113</v>
      </c>
      <c r="AB20" s="8" t="s">
        <v>113</v>
      </c>
      <c r="AC20" s="8" t="s">
        <v>113</v>
      </c>
      <c r="AD20" s="8" t="s">
        <v>113</v>
      </c>
      <c r="AE20" s="8" t="s">
        <v>113</v>
      </c>
      <c r="AF20" s="8" t="s">
        <v>113</v>
      </c>
      <c r="AG20" s="7" t="s">
        <v>115</v>
      </c>
      <c r="AH20" s="7" t="s">
        <v>115</v>
      </c>
      <c r="AI20" s="7" t="s">
        <v>115</v>
      </c>
      <c r="AJ20" s="7" t="s">
        <v>115</v>
      </c>
      <c r="AK20" s="7" t="s">
        <v>115</v>
      </c>
      <c r="AL20" s="7" t="s">
        <v>115</v>
      </c>
      <c r="AM20" s="8" t="s">
        <v>113</v>
      </c>
      <c r="AN20" s="8" t="s">
        <v>113</v>
      </c>
      <c r="AO20" s="8" t="s">
        <v>113</v>
      </c>
      <c r="AP20" s="8" t="s">
        <v>113</v>
      </c>
      <c r="AQ20" s="8" t="s">
        <v>113</v>
      </c>
      <c r="AR20" s="8" t="s">
        <v>113</v>
      </c>
      <c r="AS20" s="8" t="s">
        <v>113</v>
      </c>
      <c r="AT20" s="8" t="s">
        <v>113</v>
      </c>
      <c r="AU20" s="7" t="s">
        <v>115</v>
      </c>
      <c r="AV20" s="7" t="s">
        <v>115</v>
      </c>
      <c r="AW20" s="7" t="s">
        <v>115</v>
      </c>
      <c r="AX20" s="7" t="s">
        <v>115</v>
      </c>
      <c r="AY20" s="7" t="s">
        <v>115</v>
      </c>
      <c r="AZ20" s="7" t="s">
        <v>115</v>
      </c>
      <c r="BA20" s="7" t="s">
        <v>115</v>
      </c>
      <c r="BB20" s="7" t="s">
        <v>115</v>
      </c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9">
        <f t="shared" si="0"/>
        <v>21</v>
      </c>
      <c r="DC20" s="9">
        <f t="shared" si="1"/>
        <v>0</v>
      </c>
      <c r="DD20" s="9">
        <f t="shared" si="2"/>
        <v>0</v>
      </c>
      <c r="DE20" s="9">
        <f t="shared" si="3"/>
        <v>0</v>
      </c>
    </row>
    <row r="21" spans="1:109" x14ac:dyDescent="0.25">
      <c r="A21" s="5" t="s">
        <v>134</v>
      </c>
      <c r="B21" s="6" t="s">
        <v>171</v>
      </c>
      <c r="C21" s="7" t="s">
        <v>198</v>
      </c>
      <c r="D21" s="8" t="s">
        <v>118</v>
      </c>
      <c r="E21" s="8" t="s">
        <v>118</v>
      </c>
      <c r="F21" s="8" t="s">
        <v>118</v>
      </c>
      <c r="G21" s="8" t="s">
        <v>118</v>
      </c>
      <c r="H21" s="8" t="s">
        <v>118</v>
      </c>
      <c r="I21" s="7"/>
      <c r="J21" s="7"/>
      <c r="K21" s="7"/>
      <c r="L21" s="7"/>
      <c r="M21" s="7"/>
      <c r="N21" s="7"/>
      <c r="O21" s="8" t="s">
        <v>113</v>
      </c>
      <c r="P21" s="7"/>
      <c r="Q21" s="7"/>
      <c r="R21" s="7" t="s">
        <v>117</v>
      </c>
      <c r="S21" s="7" t="s">
        <v>117</v>
      </c>
      <c r="T21" s="7" t="s">
        <v>117</v>
      </c>
      <c r="U21" s="7" t="s">
        <v>117</v>
      </c>
      <c r="V21" s="7" t="s">
        <v>117</v>
      </c>
      <c r="W21" s="7" t="s">
        <v>117</v>
      </c>
      <c r="X21" s="7" t="s">
        <v>117</v>
      </c>
      <c r="Y21" s="7" t="s">
        <v>117</v>
      </c>
      <c r="Z21" s="7" t="s">
        <v>117</v>
      </c>
      <c r="AA21" s="7" t="s">
        <v>117</v>
      </c>
      <c r="AB21" s="7" t="s">
        <v>117</v>
      </c>
      <c r="AC21" s="7" t="s">
        <v>117</v>
      </c>
      <c r="AD21" s="7" t="s">
        <v>117</v>
      </c>
      <c r="AE21" s="7" t="s">
        <v>117</v>
      </c>
      <c r="AF21" s="7" t="s">
        <v>117</v>
      </c>
      <c r="AG21" s="7" t="s">
        <v>117</v>
      </c>
      <c r="AH21" s="7" t="s">
        <v>117</v>
      </c>
      <c r="AI21" s="7" t="s">
        <v>117</v>
      </c>
      <c r="AJ21" s="7" t="s">
        <v>117</v>
      </c>
      <c r="AK21" s="7" t="s">
        <v>117</v>
      </c>
      <c r="AL21" s="7" t="s">
        <v>117</v>
      </c>
      <c r="AM21" s="7" t="s">
        <v>117</v>
      </c>
      <c r="AN21" s="7" t="s">
        <v>117</v>
      </c>
      <c r="AO21" s="7" t="s">
        <v>117</v>
      </c>
      <c r="AP21" s="7" t="s">
        <v>117</v>
      </c>
      <c r="AQ21" s="7" t="s">
        <v>117</v>
      </c>
      <c r="AR21" s="7" t="s">
        <v>117</v>
      </c>
      <c r="AS21" s="7" t="s">
        <v>117</v>
      </c>
      <c r="AT21" s="7" t="s">
        <v>117</v>
      </c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9">
        <f t="shared" si="0"/>
        <v>1</v>
      </c>
      <c r="DC21" s="9">
        <f t="shared" si="1"/>
        <v>0</v>
      </c>
      <c r="DD21" s="9">
        <f t="shared" si="2"/>
        <v>0</v>
      </c>
      <c r="DE21" s="9">
        <f t="shared" si="3"/>
        <v>0</v>
      </c>
    </row>
    <row r="22" spans="1:109" x14ac:dyDescent="0.25">
      <c r="A22" s="5" t="s">
        <v>135</v>
      </c>
      <c r="B22" s="6" t="s">
        <v>168</v>
      </c>
      <c r="C22" s="7"/>
      <c r="D22" s="8" t="s">
        <v>200</v>
      </c>
      <c r="E22" s="8" t="s">
        <v>200</v>
      </c>
      <c r="F22" s="8" t="s">
        <v>200</v>
      </c>
      <c r="G22" s="8" t="s">
        <v>200</v>
      </c>
      <c r="H22" s="8" t="s">
        <v>200</v>
      </c>
      <c r="I22" s="7"/>
      <c r="J22" s="7"/>
      <c r="K22" s="7"/>
      <c r="L22" s="7"/>
      <c r="M22" s="7"/>
      <c r="N22" s="7"/>
      <c r="O22" s="8" t="s">
        <v>113</v>
      </c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9">
        <f t="shared" si="0"/>
        <v>1</v>
      </c>
      <c r="DC22" s="9">
        <f t="shared" si="1"/>
        <v>0</v>
      </c>
      <c r="DD22" s="9">
        <f t="shared" si="2"/>
        <v>0</v>
      </c>
      <c r="DE22" s="9">
        <f t="shared" si="3"/>
        <v>0</v>
      </c>
    </row>
    <row r="23" spans="1:109" x14ac:dyDescent="0.25">
      <c r="A23" s="5" t="s">
        <v>136</v>
      </c>
      <c r="B23" s="6" t="s">
        <v>168</v>
      </c>
      <c r="C23" s="7" t="s">
        <v>198</v>
      </c>
      <c r="D23" s="27" t="s">
        <v>197</v>
      </c>
      <c r="E23" s="27" t="s">
        <v>197</v>
      </c>
      <c r="F23" s="27" t="s">
        <v>197</v>
      </c>
      <c r="G23" s="27" t="s">
        <v>197</v>
      </c>
      <c r="H23" s="27" t="s">
        <v>197</v>
      </c>
      <c r="I23" s="27" t="s">
        <v>197</v>
      </c>
      <c r="J23" s="27" t="s">
        <v>197</v>
      </c>
      <c r="K23" s="27" t="s">
        <v>197</v>
      </c>
      <c r="L23" s="27" t="s">
        <v>197</v>
      </c>
      <c r="M23" s="27" t="s">
        <v>197</v>
      </c>
      <c r="N23" s="7"/>
      <c r="O23" s="8" t="s">
        <v>113</v>
      </c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9">
        <f t="shared" si="0"/>
        <v>1</v>
      </c>
      <c r="DC23" s="9">
        <f t="shared" si="1"/>
        <v>0</v>
      </c>
      <c r="DD23" s="9">
        <f t="shared" si="2"/>
        <v>0</v>
      </c>
      <c r="DE23" s="9">
        <f t="shared" si="3"/>
        <v>0</v>
      </c>
    </row>
    <row r="24" spans="1:109" x14ac:dyDescent="0.25">
      <c r="A24" s="5" t="s">
        <v>137</v>
      </c>
      <c r="B24" s="6" t="s">
        <v>168</v>
      </c>
      <c r="C24" s="7"/>
      <c r="D24" s="27" t="s">
        <v>197</v>
      </c>
      <c r="E24" s="27" t="s">
        <v>197</v>
      </c>
      <c r="F24" s="27" t="s">
        <v>197</v>
      </c>
      <c r="G24" s="27" t="s">
        <v>197</v>
      </c>
      <c r="H24" s="27" t="s">
        <v>197</v>
      </c>
      <c r="I24" s="7"/>
      <c r="J24" s="7"/>
      <c r="K24" s="7"/>
      <c r="L24" s="7"/>
      <c r="M24" s="7"/>
      <c r="N24" s="7"/>
      <c r="O24" s="8" t="s">
        <v>113</v>
      </c>
      <c r="P24" s="7"/>
      <c r="Q24" s="7"/>
      <c r="R24" s="8" t="s">
        <v>113</v>
      </c>
      <c r="S24" s="8" t="s">
        <v>113</v>
      </c>
      <c r="T24" s="8" t="s">
        <v>113</v>
      </c>
      <c r="U24" s="8" t="s">
        <v>113</v>
      </c>
      <c r="V24" s="8" t="s">
        <v>113</v>
      </c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9">
        <f t="shared" si="0"/>
        <v>6</v>
      </c>
      <c r="DC24" s="9">
        <f t="shared" si="1"/>
        <v>0</v>
      </c>
      <c r="DD24" s="9">
        <f t="shared" si="2"/>
        <v>0</v>
      </c>
      <c r="DE24" s="9">
        <f t="shared" si="3"/>
        <v>0</v>
      </c>
    </row>
    <row r="25" spans="1:109" x14ac:dyDescent="0.25">
      <c r="A25" s="5" t="s">
        <v>138</v>
      </c>
      <c r="B25" s="6" t="s">
        <v>168</v>
      </c>
      <c r="C25" s="7" t="s">
        <v>198</v>
      </c>
      <c r="D25" s="8" t="s">
        <v>113</v>
      </c>
      <c r="E25" s="8" t="s">
        <v>113</v>
      </c>
      <c r="F25" s="8" t="s">
        <v>113</v>
      </c>
      <c r="G25" s="8" t="s">
        <v>113</v>
      </c>
      <c r="H25" s="8"/>
      <c r="I25" s="8"/>
      <c r="J25" s="8"/>
      <c r="K25" s="8"/>
      <c r="L25" s="8"/>
      <c r="M25" s="8"/>
      <c r="N25" s="8"/>
      <c r="O25" s="8" t="s">
        <v>113</v>
      </c>
      <c r="P25" s="8"/>
      <c r="Q25" s="8"/>
      <c r="R25" s="8" t="s">
        <v>113</v>
      </c>
      <c r="S25" s="8" t="s">
        <v>113</v>
      </c>
      <c r="T25" s="8" t="s">
        <v>113</v>
      </c>
      <c r="U25" s="8" t="s">
        <v>113</v>
      </c>
      <c r="V25" s="8" t="s">
        <v>113</v>
      </c>
      <c r="W25" s="7" t="s">
        <v>115</v>
      </c>
      <c r="X25" s="7" t="s">
        <v>115</v>
      </c>
      <c r="Y25" s="7" t="s">
        <v>115</v>
      </c>
      <c r="Z25" s="7" t="s">
        <v>115</v>
      </c>
      <c r="AA25" s="7" t="s">
        <v>115</v>
      </c>
      <c r="AB25" s="7" t="s">
        <v>115</v>
      </c>
      <c r="AC25" s="8" t="s">
        <v>113</v>
      </c>
      <c r="AD25" s="8" t="s">
        <v>113</v>
      </c>
      <c r="AE25" s="8" t="s">
        <v>113</v>
      </c>
      <c r="AF25" s="8" t="s">
        <v>113</v>
      </c>
      <c r="AG25" s="8" t="s">
        <v>113</v>
      </c>
      <c r="AH25" s="8" t="s">
        <v>113</v>
      </c>
      <c r="AI25" s="8" t="s">
        <v>113</v>
      </c>
      <c r="AJ25" s="8" t="s">
        <v>113</v>
      </c>
      <c r="AK25" s="7" t="s">
        <v>115</v>
      </c>
      <c r="AL25" s="7" t="s">
        <v>115</v>
      </c>
      <c r="AM25" s="7" t="s">
        <v>115</v>
      </c>
      <c r="AN25" s="7" t="s">
        <v>115</v>
      </c>
      <c r="AO25" s="7" t="s">
        <v>115</v>
      </c>
      <c r="AP25" s="7" t="s">
        <v>115</v>
      </c>
      <c r="AQ25" s="8" t="s">
        <v>113</v>
      </c>
      <c r="AR25" s="8" t="s">
        <v>113</v>
      </c>
      <c r="AS25" s="8" t="s">
        <v>113</v>
      </c>
      <c r="AT25" s="8" t="s">
        <v>113</v>
      </c>
      <c r="AU25" s="8" t="s">
        <v>113</v>
      </c>
      <c r="AV25" s="8" t="s">
        <v>113</v>
      </c>
      <c r="AW25" s="8" t="s">
        <v>113</v>
      </c>
      <c r="AX25" s="8" t="s">
        <v>113</v>
      </c>
      <c r="AY25" s="7"/>
      <c r="AZ25" s="7"/>
      <c r="BA25" s="7" t="s">
        <v>201</v>
      </c>
      <c r="BB25" s="7" t="s">
        <v>199</v>
      </c>
      <c r="BC25" s="7" t="s">
        <v>199</v>
      </c>
      <c r="BD25" s="7" t="s">
        <v>199</v>
      </c>
      <c r="BE25" s="7" t="s">
        <v>199</v>
      </c>
      <c r="BF25" s="7" t="s">
        <v>199</v>
      </c>
      <c r="BG25" s="7" t="s">
        <v>199</v>
      </c>
      <c r="BH25" s="8" t="s">
        <v>113</v>
      </c>
      <c r="BI25" s="8" t="s">
        <v>113</v>
      </c>
      <c r="BJ25" s="8" t="s">
        <v>113</v>
      </c>
      <c r="BK25" s="8" t="s">
        <v>113</v>
      </c>
      <c r="BL25" s="8" t="s">
        <v>113</v>
      </c>
      <c r="BM25" s="8" t="s">
        <v>113</v>
      </c>
      <c r="BN25" s="8" t="s">
        <v>113</v>
      </c>
      <c r="BO25" s="8" t="s">
        <v>113</v>
      </c>
      <c r="BP25" s="7" t="s">
        <v>115</v>
      </c>
      <c r="BQ25" s="7" t="s">
        <v>115</v>
      </c>
      <c r="BR25" s="7" t="s">
        <v>115</v>
      </c>
      <c r="BS25" s="7" t="s">
        <v>115</v>
      </c>
      <c r="BT25" s="7" t="s">
        <v>115</v>
      </c>
      <c r="BU25" s="7" t="s">
        <v>115</v>
      </c>
      <c r="BV25" s="8" t="s">
        <v>113</v>
      </c>
      <c r="BW25" s="8" t="s">
        <v>113</v>
      </c>
      <c r="BX25" s="8" t="s">
        <v>113</v>
      </c>
      <c r="BY25" s="8" t="s">
        <v>113</v>
      </c>
      <c r="BZ25" s="8" t="s">
        <v>113</v>
      </c>
      <c r="CA25" s="8" t="s">
        <v>113</v>
      </c>
      <c r="CB25" s="8" t="s">
        <v>113</v>
      </c>
      <c r="CC25" s="8" t="s">
        <v>113</v>
      </c>
      <c r="CD25" s="7" t="s">
        <v>115</v>
      </c>
      <c r="CE25" s="7" t="s">
        <v>115</v>
      </c>
      <c r="CF25" s="7" t="s">
        <v>115</v>
      </c>
      <c r="CG25" s="7" t="s">
        <v>115</v>
      </c>
      <c r="CH25" s="7" t="s">
        <v>115</v>
      </c>
      <c r="CI25" s="7" t="s">
        <v>115</v>
      </c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9">
        <f t="shared" si="0"/>
        <v>42</v>
      </c>
      <c r="DC25" s="9">
        <f t="shared" si="1"/>
        <v>0</v>
      </c>
      <c r="DD25" s="9">
        <f t="shared" si="2"/>
        <v>0</v>
      </c>
      <c r="DE25" s="9">
        <f t="shared" si="3"/>
        <v>0</v>
      </c>
    </row>
    <row r="26" spans="1:109" x14ac:dyDescent="0.25">
      <c r="A26" s="5" t="s">
        <v>139</v>
      </c>
      <c r="B26" s="6" t="s">
        <v>168</v>
      </c>
      <c r="C26" s="7" t="s">
        <v>198</v>
      </c>
      <c r="D26" s="7" t="s">
        <v>183</v>
      </c>
      <c r="E26" s="7" t="s">
        <v>183</v>
      </c>
      <c r="F26" s="8" t="s">
        <v>118</v>
      </c>
      <c r="G26" s="8" t="s">
        <v>118</v>
      </c>
      <c r="H26" s="8" t="s">
        <v>118</v>
      </c>
      <c r="I26" s="7"/>
      <c r="J26" s="7"/>
      <c r="K26" s="7"/>
      <c r="L26" s="7"/>
      <c r="M26" s="7"/>
      <c r="N26" s="7" t="s">
        <v>183</v>
      </c>
      <c r="O26" s="8" t="s">
        <v>113</v>
      </c>
      <c r="P26" s="7"/>
      <c r="Q26" s="7"/>
      <c r="R26" s="8" t="s">
        <v>113</v>
      </c>
      <c r="S26" s="8" t="s">
        <v>113</v>
      </c>
      <c r="T26" s="7" t="s">
        <v>183</v>
      </c>
      <c r="U26" s="8" t="s">
        <v>113</v>
      </c>
      <c r="V26" s="8" t="s">
        <v>113</v>
      </c>
      <c r="W26" s="8" t="s">
        <v>113</v>
      </c>
      <c r="X26" s="8" t="s">
        <v>113</v>
      </c>
      <c r="Y26" s="8" t="s">
        <v>113</v>
      </c>
      <c r="Z26" s="8" t="s">
        <v>113</v>
      </c>
      <c r="AA26" s="8" t="s">
        <v>113</v>
      </c>
      <c r="AB26" s="8" t="s">
        <v>113</v>
      </c>
      <c r="AC26" s="7" t="s">
        <v>115</v>
      </c>
      <c r="AD26" s="7" t="s">
        <v>115</v>
      </c>
      <c r="AE26" s="7" t="s">
        <v>115</v>
      </c>
      <c r="AF26" s="7" t="s">
        <v>115</v>
      </c>
      <c r="AG26" s="7" t="s">
        <v>115</v>
      </c>
      <c r="AH26" s="7" t="s">
        <v>115</v>
      </c>
      <c r="AI26" s="8" t="s">
        <v>113</v>
      </c>
      <c r="AJ26" s="8" t="s">
        <v>113</v>
      </c>
      <c r="AK26" s="8" t="s">
        <v>113</v>
      </c>
      <c r="AL26" s="8" t="s">
        <v>113</v>
      </c>
      <c r="AM26" s="8" t="s">
        <v>113</v>
      </c>
      <c r="AN26" s="8" t="s">
        <v>113</v>
      </c>
      <c r="AO26" s="8" t="s">
        <v>113</v>
      </c>
      <c r="AP26" s="8" t="s">
        <v>113</v>
      </c>
      <c r="AQ26" s="7" t="s">
        <v>115</v>
      </c>
      <c r="AR26" s="7" t="s">
        <v>115</v>
      </c>
      <c r="AS26" s="7" t="s">
        <v>115</v>
      </c>
      <c r="AT26" s="7" t="s">
        <v>115</v>
      </c>
      <c r="AU26" s="7" t="s">
        <v>115</v>
      </c>
      <c r="AV26" s="7" t="s">
        <v>115</v>
      </c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9">
        <f t="shared" si="0"/>
        <v>19</v>
      </c>
      <c r="DC26" s="9">
        <f t="shared" si="1"/>
        <v>0</v>
      </c>
      <c r="DD26" s="9">
        <f t="shared" si="2"/>
        <v>0</v>
      </c>
      <c r="DE26" s="9">
        <f t="shared" si="3"/>
        <v>0</v>
      </c>
    </row>
    <row r="27" spans="1:109" x14ac:dyDescent="0.25">
      <c r="A27" s="5" t="s">
        <v>140</v>
      </c>
      <c r="B27" s="6" t="s">
        <v>168</v>
      </c>
      <c r="C27" s="7" t="s">
        <v>198</v>
      </c>
      <c r="D27" s="8" t="s">
        <v>118</v>
      </c>
      <c r="E27" s="8" t="s">
        <v>118</v>
      </c>
      <c r="F27" s="8" t="s">
        <v>118</v>
      </c>
      <c r="G27" s="8" t="s">
        <v>118</v>
      </c>
      <c r="H27" s="8" t="s">
        <v>118</v>
      </c>
      <c r="I27" s="7"/>
      <c r="J27" s="7"/>
      <c r="K27" s="7"/>
      <c r="L27" s="7"/>
      <c r="M27" s="7"/>
      <c r="N27" s="7"/>
      <c r="O27" s="8" t="s">
        <v>113</v>
      </c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9">
        <f t="shared" si="0"/>
        <v>1</v>
      </c>
      <c r="DC27" s="9">
        <f t="shared" si="1"/>
        <v>0</v>
      </c>
      <c r="DD27" s="9">
        <f t="shared" si="2"/>
        <v>0</v>
      </c>
      <c r="DE27" s="9">
        <f t="shared" si="3"/>
        <v>0</v>
      </c>
    </row>
    <row r="28" spans="1:109" x14ac:dyDescent="0.25">
      <c r="A28" s="5" t="s">
        <v>141</v>
      </c>
      <c r="B28" s="6" t="s">
        <v>168</v>
      </c>
      <c r="C28" s="7" t="s">
        <v>198</v>
      </c>
      <c r="D28" s="27" t="s">
        <v>197</v>
      </c>
      <c r="E28" s="27" t="s">
        <v>197</v>
      </c>
      <c r="F28" s="27" t="s">
        <v>197</v>
      </c>
      <c r="G28" s="27" t="s">
        <v>197</v>
      </c>
      <c r="H28" s="27" t="s">
        <v>197</v>
      </c>
      <c r="I28" s="7"/>
      <c r="J28" s="7"/>
      <c r="K28" s="7"/>
      <c r="L28" s="7"/>
      <c r="M28" s="7"/>
      <c r="N28" s="7"/>
      <c r="O28" s="8" t="s">
        <v>113</v>
      </c>
      <c r="P28" s="7"/>
      <c r="Q28" s="7"/>
      <c r="R28" s="8" t="s">
        <v>113</v>
      </c>
      <c r="S28" s="8" t="s">
        <v>113</v>
      </c>
      <c r="T28" s="8" t="s">
        <v>113</v>
      </c>
      <c r="U28" s="8" t="s">
        <v>113</v>
      </c>
      <c r="V28" s="8" t="s">
        <v>113</v>
      </c>
      <c r="W28" s="7" t="s">
        <v>115</v>
      </c>
      <c r="X28" s="7" t="s">
        <v>115</v>
      </c>
      <c r="Y28" s="7" t="s">
        <v>115</v>
      </c>
      <c r="Z28" s="7" t="s">
        <v>115</v>
      </c>
      <c r="AA28" s="7" t="s">
        <v>115</v>
      </c>
      <c r="AB28" s="7" t="s">
        <v>115</v>
      </c>
      <c r="AC28" s="8" t="s">
        <v>113</v>
      </c>
      <c r="AD28" s="8" t="s">
        <v>113</v>
      </c>
      <c r="AE28" s="8" t="s">
        <v>113</v>
      </c>
      <c r="AF28" s="8" t="s">
        <v>113</v>
      </c>
      <c r="AG28" s="8" t="s">
        <v>113</v>
      </c>
      <c r="AH28" s="8" t="s">
        <v>113</v>
      </c>
      <c r="AI28" s="8" t="s">
        <v>113</v>
      </c>
      <c r="AJ28" s="8" t="s">
        <v>113</v>
      </c>
      <c r="AK28" s="7" t="s">
        <v>115</v>
      </c>
      <c r="AL28" s="7" t="s">
        <v>115</v>
      </c>
      <c r="AM28" s="7" t="s">
        <v>115</v>
      </c>
      <c r="AN28" s="7" t="s">
        <v>115</v>
      </c>
      <c r="AO28" s="7" t="s">
        <v>115</v>
      </c>
      <c r="AP28" s="7" t="s">
        <v>115</v>
      </c>
      <c r="AQ28" s="8" t="s">
        <v>113</v>
      </c>
      <c r="AR28" s="8" t="s">
        <v>113</v>
      </c>
      <c r="AS28" s="8" t="s">
        <v>113</v>
      </c>
      <c r="AT28" s="8" t="s">
        <v>113</v>
      </c>
      <c r="AU28" s="8" t="s">
        <v>113</v>
      </c>
      <c r="AV28" s="8" t="s">
        <v>113</v>
      </c>
      <c r="AW28" s="8" t="s">
        <v>113</v>
      </c>
      <c r="AX28" s="8" t="s">
        <v>113</v>
      </c>
      <c r="AY28" s="7" t="s">
        <v>115</v>
      </c>
      <c r="AZ28" s="7" t="s">
        <v>115</v>
      </c>
      <c r="BA28" s="7" t="s">
        <v>115</v>
      </c>
      <c r="BB28" s="7" t="s">
        <v>115</v>
      </c>
      <c r="BC28" s="7" t="s">
        <v>115</v>
      </c>
      <c r="BD28" s="7" t="s">
        <v>115</v>
      </c>
      <c r="BE28" s="8" t="s">
        <v>113</v>
      </c>
      <c r="BF28" s="8" t="s">
        <v>113</v>
      </c>
      <c r="BG28" s="8" t="s">
        <v>113</v>
      </c>
      <c r="BH28" s="8" t="s">
        <v>113</v>
      </c>
      <c r="BI28" s="8" t="s">
        <v>113</v>
      </c>
      <c r="BJ28" s="8" t="s">
        <v>113</v>
      </c>
      <c r="BK28" s="8" t="s">
        <v>113</v>
      </c>
      <c r="BL28" s="8" t="s">
        <v>113</v>
      </c>
      <c r="BM28" s="7" t="s">
        <v>115</v>
      </c>
      <c r="BN28" s="7" t="s">
        <v>115</v>
      </c>
      <c r="BO28" s="7" t="s">
        <v>115</v>
      </c>
      <c r="BP28" s="7" t="s">
        <v>115</v>
      </c>
      <c r="BQ28" s="7" t="s">
        <v>115</v>
      </c>
      <c r="BR28" s="7" t="s">
        <v>115</v>
      </c>
      <c r="BS28" s="8" t="s">
        <v>113</v>
      </c>
      <c r="BT28" s="8" t="s">
        <v>113</v>
      </c>
      <c r="BU28" s="8" t="s">
        <v>113</v>
      </c>
      <c r="BV28" s="8" t="s">
        <v>113</v>
      </c>
      <c r="BW28" s="8" t="s">
        <v>113</v>
      </c>
      <c r="BX28" s="8" t="s">
        <v>113</v>
      </c>
      <c r="BY28" s="8" t="s">
        <v>113</v>
      </c>
      <c r="BZ28" s="8" t="s">
        <v>113</v>
      </c>
      <c r="CA28" s="7" t="s">
        <v>115</v>
      </c>
      <c r="CB28" s="7" t="s">
        <v>115</v>
      </c>
      <c r="CC28" s="7" t="s">
        <v>115</v>
      </c>
      <c r="CD28" s="7" t="s">
        <v>115</v>
      </c>
      <c r="CE28" s="7" t="s">
        <v>115</v>
      </c>
      <c r="CF28" s="7" t="s">
        <v>115</v>
      </c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9">
        <f t="shared" si="0"/>
        <v>38</v>
      </c>
      <c r="DC28" s="9">
        <f t="shared" si="1"/>
        <v>0</v>
      </c>
      <c r="DD28" s="9">
        <f t="shared" si="2"/>
        <v>0</v>
      </c>
      <c r="DE28" s="9">
        <f t="shared" si="3"/>
        <v>0</v>
      </c>
    </row>
    <row r="29" spans="1:109" x14ac:dyDescent="0.25">
      <c r="A29" s="5" t="s">
        <v>142</v>
      </c>
      <c r="B29" s="6" t="s">
        <v>168</v>
      </c>
      <c r="C29" s="7" t="s">
        <v>198</v>
      </c>
      <c r="D29" s="27" t="s">
        <v>197</v>
      </c>
      <c r="E29" s="27" t="s">
        <v>197</v>
      </c>
      <c r="F29" s="27" t="s">
        <v>197</v>
      </c>
      <c r="G29" s="27" t="s">
        <v>197</v>
      </c>
      <c r="H29" s="27" t="s">
        <v>197</v>
      </c>
      <c r="I29" s="7"/>
      <c r="J29" s="7"/>
      <c r="K29" s="7"/>
      <c r="L29" s="7"/>
      <c r="M29" s="7"/>
      <c r="N29" s="7" t="s">
        <v>183</v>
      </c>
      <c r="O29" s="8" t="s">
        <v>113</v>
      </c>
      <c r="P29" s="8"/>
      <c r="Q29" s="8"/>
      <c r="R29" s="8" t="s">
        <v>113</v>
      </c>
      <c r="S29" s="8" t="s">
        <v>113</v>
      </c>
      <c r="T29" s="8" t="s">
        <v>113</v>
      </c>
      <c r="U29" s="8" t="s">
        <v>113</v>
      </c>
      <c r="V29" s="8" t="s">
        <v>113</v>
      </c>
      <c r="W29" s="8" t="s">
        <v>113</v>
      </c>
      <c r="X29" s="8" t="s">
        <v>113</v>
      </c>
      <c r="Y29" s="8" t="s">
        <v>113</v>
      </c>
      <c r="Z29" s="8" t="s">
        <v>113</v>
      </c>
      <c r="AA29" s="8" t="s">
        <v>113</v>
      </c>
      <c r="AB29" s="8" t="s">
        <v>113</v>
      </c>
      <c r="AC29" s="8" t="s">
        <v>113</v>
      </c>
      <c r="AD29" s="7" t="s">
        <v>115</v>
      </c>
      <c r="AE29" s="7" t="s">
        <v>115</v>
      </c>
      <c r="AF29" s="7" t="s">
        <v>115</v>
      </c>
      <c r="AG29" s="7" t="s">
        <v>115</v>
      </c>
      <c r="AH29" s="7" t="s">
        <v>115</v>
      </c>
      <c r="AI29" s="7" t="s">
        <v>115</v>
      </c>
      <c r="AJ29" s="8" t="s">
        <v>113</v>
      </c>
      <c r="AK29" s="8" t="s">
        <v>113</v>
      </c>
      <c r="AL29" s="8" t="s">
        <v>113</v>
      </c>
      <c r="AM29" s="8" t="s">
        <v>113</v>
      </c>
      <c r="AN29" s="8" t="s">
        <v>113</v>
      </c>
      <c r="AO29" s="8" t="s">
        <v>113</v>
      </c>
      <c r="AP29" s="8" t="s">
        <v>113</v>
      </c>
      <c r="AQ29" s="8" t="s">
        <v>113</v>
      </c>
      <c r="AR29" s="7" t="s">
        <v>115</v>
      </c>
      <c r="AS29" s="7" t="s">
        <v>115</v>
      </c>
      <c r="AT29" s="7" t="s">
        <v>115</v>
      </c>
      <c r="AU29" s="7" t="s">
        <v>115</v>
      </c>
      <c r="AV29" s="7" t="s">
        <v>115</v>
      </c>
      <c r="AW29" s="7" t="s">
        <v>115</v>
      </c>
      <c r="AX29" s="8" t="s">
        <v>113</v>
      </c>
      <c r="AY29" s="8" t="s">
        <v>113</v>
      </c>
      <c r="AZ29" s="8" t="s">
        <v>113</v>
      </c>
      <c r="BA29" s="8" t="s">
        <v>113</v>
      </c>
      <c r="BB29" s="8" t="s">
        <v>113</v>
      </c>
      <c r="BC29" s="8" t="s">
        <v>113</v>
      </c>
      <c r="BD29" s="8" t="s">
        <v>113</v>
      </c>
      <c r="BE29" s="8" t="s">
        <v>113</v>
      </c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9">
        <f t="shared" si="0"/>
        <v>29</v>
      </c>
      <c r="DC29" s="9">
        <f t="shared" si="1"/>
        <v>0</v>
      </c>
      <c r="DD29" s="9">
        <f t="shared" si="2"/>
        <v>0</v>
      </c>
      <c r="DE29" s="9">
        <f t="shared" si="3"/>
        <v>0</v>
      </c>
    </row>
    <row r="30" spans="1:109" x14ac:dyDescent="0.25">
      <c r="A30" s="5"/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9">
        <f t="shared" si="0"/>
        <v>0</v>
      </c>
      <c r="DC30" s="9">
        <f t="shared" si="1"/>
        <v>0</v>
      </c>
      <c r="DD30" s="9">
        <f t="shared" si="2"/>
        <v>0</v>
      </c>
      <c r="DE30" s="9">
        <f t="shared" si="3"/>
        <v>0</v>
      </c>
    </row>
    <row r="31" spans="1:109" ht="19.95" customHeight="1" x14ac:dyDescent="0.25">
      <c r="A31" s="31" t="s">
        <v>143</v>
      </c>
      <c r="B31" s="30"/>
      <c r="C31" s="30"/>
      <c r="D31" s="10">
        <f>COUNTIF(D5:D30,"בסיס")</f>
        <v>1</v>
      </c>
      <c r="E31" s="10">
        <f t="shared" ref="E31:G31" si="4">COUNTIF(E5:E30,"בסיס")</f>
        <v>1</v>
      </c>
      <c r="F31" s="10">
        <f t="shared" si="4"/>
        <v>1</v>
      </c>
      <c r="G31" s="10">
        <f t="shared" si="4"/>
        <v>2</v>
      </c>
      <c r="H31" s="10">
        <f>COUNTIF(H5:H30,"בסיס")</f>
        <v>1</v>
      </c>
      <c r="I31" s="10">
        <f t="shared" ref="I31:AL31" si="5">COUNTIF(I5:I30,"בסיס")</f>
        <v>0</v>
      </c>
      <c r="J31" s="10">
        <f t="shared" si="5"/>
        <v>0</v>
      </c>
      <c r="K31" s="10">
        <f t="shared" si="5"/>
        <v>0</v>
      </c>
      <c r="L31" s="10">
        <f t="shared" si="5"/>
        <v>0</v>
      </c>
      <c r="M31" s="10">
        <f t="shared" si="5"/>
        <v>0</v>
      </c>
      <c r="N31" s="10">
        <f t="shared" si="5"/>
        <v>3</v>
      </c>
      <c r="O31" s="10">
        <f t="shared" si="5"/>
        <v>25</v>
      </c>
      <c r="P31" s="10">
        <f>COUNTIF(P5:P30,"בסיס")</f>
        <v>0</v>
      </c>
      <c r="Q31" s="10">
        <f>COUNTIF(Q5:Q30,"בסיס")</f>
        <v>0</v>
      </c>
      <c r="R31" s="10">
        <f>COUNTIF(R5:R30,"בסיס")</f>
        <v>16</v>
      </c>
      <c r="S31" s="10">
        <f t="shared" si="5"/>
        <v>16</v>
      </c>
      <c r="T31" s="10">
        <f>COUNTIF(T5:T30,"בסיס")</f>
        <v>15</v>
      </c>
      <c r="U31" s="10">
        <f>COUNTIF(U5:U30,"בסיס")</f>
        <v>15</v>
      </c>
      <c r="V31" s="36">
        <f>COUNTIF(V5:V30,"בסיס")</f>
        <v>13</v>
      </c>
      <c r="W31" s="36">
        <f t="shared" si="5"/>
        <v>8</v>
      </c>
      <c r="X31" s="36">
        <f>COUNTIF(X5:X30,"בסיס")</f>
        <v>8</v>
      </c>
      <c r="Y31" s="36">
        <f>COUNTIF(Y5:Y30,"בסיס")</f>
        <v>9</v>
      </c>
      <c r="Z31" s="36">
        <f t="shared" si="5"/>
        <v>8</v>
      </c>
      <c r="AA31" s="36">
        <f t="shared" si="5"/>
        <v>6</v>
      </c>
      <c r="AB31" s="36">
        <f t="shared" si="5"/>
        <v>5</v>
      </c>
      <c r="AC31" s="36">
        <f t="shared" si="5"/>
        <v>9</v>
      </c>
      <c r="AD31" s="36">
        <f t="shared" si="5"/>
        <v>7</v>
      </c>
      <c r="AE31" s="36">
        <f t="shared" si="5"/>
        <v>7</v>
      </c>
      <c r="AF31" s="36">
        <f t="shared" si="5"/>
        <v>7</v>
      </c>
      <c r="AG31" s="36">
        <f t="shared" si="5"/>
        <v>9</v>
      </c>
      <c r="AH31" s="36">
        <f t="shared" si="5"/>
        <v>11</v>
      </c>
      <c r="AI31" s="36">
        <f t="shared" si="5"/>
        <v>13</v>
      </c>
      <c r="AJ31" s="36">
        <f t="shared" si="5"/>
        <v>11</v>
      </c>
      <c r="AK31" s="36">
        <f t="shared" si="5"/>
        <v>8</v>
      </c>
      <c r="AL31" s="36">
        <f t="shared" si="5"/>
        <v>8</v>
      </c>
      <c r="AM31" s="36">
        <f t="shared" ref="AM31:BR31" si="6">COUNTIF(AM5:AM30,"בסיס")</f>
        <v>8</v>
      </c>
      <c r="AN31" s="36">
        <f t="shared" si="6"/>
        <v>7</v>
      </c>
      <c r="AO31" s="36">
        <f t="shared" si="6"/>
        <v>6</v>
      </c>
      <c r="AP31" s="36">
        <f t="shared" si="6"/>
        <v>6</v>
      </c>
      <c r="AQ31" s="36">
        <f t="shared" si="6"/>
        <v>7</v>
      </c>
      <c r="AR31" s="36">
        <f t="shared" si="6"/>
        <v>5</v>
      </c>
      <c r="AS31" s="36">
        <f t="shared" si="6"/>
        <v>5</v>
      </c>
      <c r="AT31" s="36">
        <f t="shared" si="6"/>
        <v>6</v>
      </c>
      <c r="AU31" s="36">
        <f t="shared" si="6"/>
        <v>5</v>
      </c>
      <c r="AV31" s="36">
        <f t="shared" si="6"/>
        <v>5</v>
      </c>
      <c r="AW31" s="36">
        <f t="shared" si="6"/>
        <v>5</v>
      </c>
      <c r="AX31" s="36">
        <f t="shared" si="6"/>
        <v>6</v>
      </c>
      <c r="AY31" s="36">
        <f t="shared" si="6"/>
        <v>3</v>
      </c>
      <c r="AZ31" s="36">
        <f t="shared" si="6"/>
        <v>3</v>
      </c>
      <c r="BA31" s="36">
        <f t="shared" si="6"/>
        <v>3</v>
      </c>
      <c r="BB31" s="36">
        <f t="shared" si="6"/>
        <v>2</v>
      </c>
      <c r="BC31" s="36">
        <f t="shared" si="6"/>
        <v>2</v>
      </c>
      <c r="BD31" s="36">
        <f t="shared" si="6"/>
        <v>2</v>
      </c>
      <c r="BE31" s="36">
        <f t="shared" si="6"/>
        <v>3</v>
      </c>
      <c r="BF31" s="36">
        <f t="shared" si="6"/>
        <v>2</v>
      </c>
      <c r="BG31" s="36">
        <f t="shared" si="6"/>
        <v>2</v>
      </c>
      <c r="BH31" s="36">
        <f t="shared" si="6"/>
        <v>3</v>
      </c>
      <c r="BI31" s="36">
        <f t="shared" si="6"/>
        <v>2</v>
      </c>
      <c r="BJ31" s="36">
        <f t="shared" si="6"/>
        <v>2</v>
      </c>
      <c r="BK31" s="36">
        <f t="shared" si="6"/>
        <v>2</v>
      </c>
      <c r="BL31" s="36">
        <f t="shared" si="6"/>
        <v>2</v>
      </c>
      <c r="BM31" s="36">
        <f t="shared" si="6"/>
        <v>1</v>
      </c>
      <c r="BN31" s="36">
        <f t="shared" si="6"/>
        <v>1</v>
      </c>
      <c r="BO31" s="36">
        <f t="shared" si="6"/>
        <v>1</v>
      </c>
      <c r="BP31" s="36">
        <f t="shared" si="6"/>
        <v>0</v>
      </c>
      <c r="BQ31" s="36">
        <f t="shared" si="6"/>
        <v>0</v>
      </c>
      <c r="BR31" s="36">
        <f t="shared" si="6"/>
        <v>0</v>
      </c>
      <c r="BS31" s="36">
        <f t="shared" ref="BS31:CX31" si="7">COUNTIF(BS5:BS30,"בסיס")</f>
        <v>1</v>
      </c>
      <c r="BT31" s="36">
        <f t="shared" si="7"/>
        <v>1</v>
      </c>
      <c r="BU31" s="36">
        <f t="shared" si="7"/>
        <v>1</v>
      </c>
      <c r="BV31" s="36">
        <f t="shared" si="7"/>
        <v>2</v>
      </c>
      <c r="BW31" s="36">
        <f t="shared" si="7"/>
        <v>2</v>
      </c>
      <c r="BX31" s="36">
        <f t="shared" si="7"/>
        <v>2</v>
      </c>
      <c r="BY31" s="36">
        <f t="shared" si="7"/>
        <v>2</v>
      </c>
      <c r="BZ31" s="36">
        <f t="shared" si="7"/>
        <v>2</v>
      </c>
      <c r="CA31" s="36">
        <f t="shared" si="7"/>
        <v>1</v>
      </c>
      <c r="CB31" s="36">
        <f t="shared" si="7"/>
        <v>1</v>
      </c>
      <c r="CC31" s="36">
        <f t="shared" si="7"/>
        <v>1</v>
      </c>
      <c r="CD31" s="36">
        <f t="shared" si="7"/>
        <v>0</v>
      </c>
      <c r="CE31" s="36">
        <f t="shared" si="7"/>
        <v>0</v>
      </c>
      <c r="CF31" s="36">
        <f t="shared" si="7"/>
        <v>0</v>
      </c>
      <c r="CG31" s="36">
        <f t="shared" si="7"/>
        <v>0</v>
      </c>
      <c r="CH31" s="36">
        <f t="shared" si="7"/>
        <v>0</v>
      </c>
      <c r="CI31" s="36">
        <f t="shared" si="7"/>
        <v>0</v>
      </c>
      <c r="CJ31" s="36">
        <f t="shared" si="7"/>
        <v>0</v>
      </c>
      <c r="CK31" s="36">
        <f t="shared" si="7"/>
        <v>0</v>
      </c>
      <c r="CL31" s="36">
        <f t="shared" si="7"/>
        <v>0</v>
      </c>
      <c r="CM31" s="36">
        <f t="shared" si="7"/>
        <v>0</v>
      </c>
      <c r="CN31" s="36">
        <f t="shared" si="7"/>
        <v>0</v>
      </c>
      <c r="CO31" s="36">
        <f t="shared" si="7"/>
        <v>0</v>
      </c>
      <c r="CP31" s="36">
        <f t="shared" si="7"/>
        <v>0</v>
      </c>
      <c r="CQ31" s="36">
        <f t="shared" si="7"/>
        <v>0</v>
      </c>
      <c r="CR31" s="36">
        <f t="shared" si="7"/>
        <v>0</v>
      </c>
      <c r="CS31" s="36">
        <f t="shared" si="7"/>
        <v>0</v>
      </c>
      <c r="CT31" s="36">
        <f t="shared" si="7"/>
        <v>0</v>
      </c>
      <c r="CU31" s="36">
        <f t="shared" si="7"/>
        <v>0</v>
      </c>
      <c r="CV31" s="36">
        <f t="shared" si="7"/>
        <v>0</v>
      </c>
      <c r="CW31" s="10">
        <f t="shared" si="7"/>
        <v>0</v>
      </c>
      <c r="CX31" s="10">
        <f t="shared" si="7"/>
        <v>0</v>
      </c>
      <c r="CY31" s="10">
        <f t="shared" ref="CY31:DA31" si="8">COUNTIF(CY5:CY30,"בסיס")</f>
        <v>0</v>
      </c>
      <c r="CZ31" s="10">
        <f t="shared" si="8"/>
        <v>0</v>
      </c>
      <c r="DA31" s="10">
        <f t="shared" si="8"/>
        <v>0</v>
      </c>
    </row>
    <row r="32" spans="1:109" x14ac:dyDescent="0.25">
      <c r="A32" s="31" t="s">
        <v>144</v>
      </c>
      <c r="B32" s="30"/>
      <c r="C32" s="30"/>
      <c r="D32" s="10">
        <f>COUNTIFS($B$5:$B$30,"*נשקייה*",D5:D30,"בסיס")</f>
        <v>0</v>
      </c>
      <c r="E32" s="10"/>
      <c r="F32" s="10"/>
      <c r="G32" s="10"/>
      <c r="H32" s="10">
        <f t="shared" ref="H32:AL32" si="9">COUNTIFS($B$5:$B$30,"*נשקייה*",H5:H30,"בסיס")</f>
        <v>0</v>
      </c>
      <c r="I32" s="10">
        <f t="shared" si="9"/>
        <v>0</v>
      </c>
      <c r="J32" s="10">
        <f t="shared" si="9"/>
        <v>0</v>
      </c>
      <c r="K32" s="10">
        <f t="shared" si="9"/>
        <v>0</v>
      </c>
      <c r="L32" s="10">
        <f t="shared" si="9"/>
        <v>0</v>
      </c>
      <c r="M32" s="10">
        <f t="shared" si="9"/>
        <v>0</v>
      </c>
      <c r="N32" s="10">
        <f t="shared" si="9"/>
        <v>0</v>
      </c>
      <c r="O32" s="10">
        <f t="shared" si="9"/>
        <v>0</v>
      </c>
      <c r="P32" s="10">
        <f t="shared" si="9"/>
        <v>0</v>
      </c>
      <c r="Q32" s="10">
        <f t="shared" si="9"/>
        <v>0</v>
      </c>
      <c r="R32" s="10">
        <f t="shared" si="9"/>
        <v>0</v>
      </c>
      <c r="S32" s="10">
        <f t="shared" si="9"/>
        <v>0</v>
      </c>
      <c r="T32" s="10">
        <f t="shared" si="9"/>
        <v>0</v>
      </c>
      <c r="U32" s="10">
        <f t="shared" si="9"/>
        <v>0</v>
      </c>
      <c r="V32" s="10">
        <f t="shared" si="9"/>
        <v>0</v>
      </c>
      <c r="W32" s="10">
        <f t="shared" si="9"/>
        <v>0</v>
      </c>
      <c r="X32" s="10">
        <f t="shared" si="9"/>
        <v>0</v>
      </c>
      <c r="Y32" s="10">
        <f t="shared" si="9"/>
        <v>0</v>
      </c>
      <c r="Z32" s="10">
        <f t="shared" si="9"/>
        <v>0</v>
      </c>
      <c r="AA32" s="10">
        <f t="shared" si="9"/>
        <v>0</v>
      </c>
      <c r="AB32" s="10">
        <f t="shared" si="9"/>
        <v>0</v>
      </c>
      <c r="AC32" s="10">
        <f t="shared" si="9"/>
        <v>0</v>
      </c>
      <c r="AD32" s="10">
        <f t="shared" si="9"/>
        <v>0</v>
      </c>
      <c r="AE32" s="10">
        <f t="shared" si="9"/>
        <v>0</v>
      </c>
      <c r="AF32" s="10">
        <f t="shared" si="9"/>
        <v>0</v>
      </c>
      <c r="AG32" s="10">
        <f t="shared" si="9"/>
        <v>0</v>
      </c>
      <c r="AH32" s="10">
        <f t="shared" si="9"/>
        <v>0</v>
      </c>
      <c r="AI32" s="10">
        <f t="shared" si="9"/>
        <v>0</v>
      </c>
      <c r="AJ32" s="10">
        <f t="shared" si="9"/>
        <v>0</v>
      </c>
      <c r="AK32" s="10">
        <f t="shared" si="9"/>
        <v>0</v>
      </c>
      <c r="AL32" s="10">
        <f t="shared" si="9"/>
        <v>0</v>
      </c>
      <c r="AM32" s="10">
        <f t="shared" ref="AM32:BR32" si="10">COUNTIFS($B$5:$B$30,"*נשקייה*",AM5:AM30,"בסיס")</f>
        <v>0</v>
      </c>
      <c r="AN32" s="10">
        <f t="shared" si="10"/>
        <v>0</v>
      </c>
      <c r="AO32" s="10">
        <f t="shared" si="10"/>
        <v>0</v>
      </c>
      <c r="AP32" s="10">
        <f t="shared" si="10"/>
        <v>0</v>
      </c>
      <c r="AQ32" s="10">
        <f t="shared" si="10"/>
        <v>0</v>
      </c>
      <c r="AR32" s="10">
        <f t="shared" si="10"/>
        <v>0</v>
      </c>
      <c r="AS32" s="10">
        <f t="shared" si="10"/>
        <v>0</v>
      </c>
      <c r="AT32" s="10">
        <f t="shared" si="10"/>
        <v>0</v>
      </c>
      <c r="AU32" s="10">
        <f t="shared" si="10"/>
        <v>0</v>
      </c>
      <c r="AV32" s="10">
        <f t="shared" si="10"/>
        <v>0</v>
      </c>
      <c r="AW32" s="10">
        <f t="shared" si="10"/>
        <v>0</v>
      </c>
      <c r="AX32" s="10">
        <f t="shared" si="10"/>
        <v>0</v>
      </c>
      <c r="AY32" s="10">
        <f t="shared" si="10"/>
        <v>0</v>
      </c>
      <c r="AZ32" s="10">
        <f t="shared" si="10"/>
        <v>0</v>
      </c>
      <c r="BA32" s="10">
        <f t="shared" si="10"/>
        <v>0</v>
      </c>
      <c r="BB32" s="10">
        <f t="shared" si="10"/>
        <v>0</v>
      </c>
      <c r="BC32" s="10">
        <f t="shared" si="10"/>
        <v>0</v>
      </c>
      <c r="BD32" s="10">
        <f t="shared" si="10"/>
        <v>0</v>
      </c>
      <c r="BE32" s="10">
        <f t="shared" si="10"/>
        <v>0</v>
      </c>
      <c r="BF32" s="10">
        <f t="shared" si="10"/>
        <v>0</v>
      </c>
      <c r="BG32" s="10">
        <f t="shared" si="10"/>
        <v>0</v>
      </c>
      <c r="BH32" s="10">
        <f t="shared" si="10"/>
        <v>0</v>
      </c>
      <c r="BI32" s="10">
        <f t="shared" si="10"/>
        <v>0</v>
      </c>
      <c r="BJ32" s="10">
        <f t="shared" si="10"/>
        <v>0</v>
      </c>
      <c r="BK32" s="10">
        <f t="shared" si="10"/>
        <v>0</v>
      </c>
      <c r="BL32" s="10">
        <f t="shared" si="10"/>
        <v>0</v>
      </c>
      <c r="BM32" s="10">
        <f t="shared" si="10"/>
        <v>0</v>
      </c>
      <c r="BN32" s="10">
        <f t="shared" si="10"/>
        <v>0</v>
      </c>
      <c r="BO32" s="10">
        <f t="shared" si="10"/>
        <v>0</v>
      </c>
      <c r="BP32" s="10">
        <f t="shared" si="10"/>
        <v>0</v>
      </c>
      <c r="BQ32" s="10">
        <f t="shared" si="10"/>
        <v>0</v>
      </c>
      <c r="BR32" s="10">
        <f t="shared" si="10"/>
        <v>0</v>
      </c>
      <c r="BS32" s="10">
        <f t="shared" ref="BS32:DA32" si="11">COUNTIFS($B$5:$B$30,"*נשקייה*",BS5:BS30,"בסיס")</f>
        <v>0</v>
      </c>
      <c r="BT32" s="10">
        <f t="shared" si="11"/>
        <v>0</v>
      </c>
      <c r="BU32" s="10">
        <f t="shared" si="11"/>
        <v>0</v>
      </c>
      <c r="BV32" s="10">
        <f t="shared" si="11"/>
        <v>0</v>
      </c>
      <c r="BW32" s="10">
        <f t="shared" si="11"/>
        <v>0</v>
      </c>
      <c r="BX32" s="10">
        <f t="shared" si="11"/>
        <v>0</v>
      </c>
      <c r="BY32" s="10">
        <f t="shared" si="11"/>
        <v>0</v>
      </c>
      <c r="BZ32" s="10">
        <f t="shared" si="11"/>
        <v>0</v>
      </c>
      <c r="CA32" s="10">
        <f t="shared" si="11"/>
        <v>0</v>
      </c>
      <c r="CB32" s="10">
        <f t="shared" si="11"/>
        <v>0</v>
      </c>
      <c r="CC32" s="10">
        <f t="shared" si="11"/>
        <v>0</v>
      </c>
      <c r="CD32" s="10">
        <f t="shared" si="11"/>
        <v>0</v>
      </c>
      <c r="CE32" s="10">
        <f t="shared" si="11"/>
        <v>0</v>
      </c>
      <c r="CF32" s="10">
        <f t="shared" si="11"/>
        <v>0</v>
      </c>
      <c r="CG32" s="10">
        <f t="shared" si="11"/>
        <v>0</v>
      </c>
      <c r="CH32" s="10">
        <f t="shared" si="11"/>
        <v>0</v>
      </c>
      <c r="CI32" s="10">
        <f t="shared" si="11"/>
        <v>0</v>
      </c>
      <c r="CJ32" s="10">
        <f t="shared" si="11"/>
        <v>0</v>
      </c>
      <c r="CK32" s="10">
        <f t="shared" si="11"/>
        <v>0</v>
      </c>
      <c r="CL32" s="10">
        <f t="shared" si="11"/>
        <v>0</v>
      </c>
      <c r="CM32" s="10">
        <f t="shared" si="11"/>
        <v>0</v>
      </c>
      <c r="CN32" s="10">
        <f t="shared" si="11"/>
        <v>0</v>
      </c>
      <c r="CO32" s="10">
        <f t="shared" si="11"/>
        <v>0</v>
      </c>
      <c r="CP32" s="10">
        <f t="shared" si="11"/>
        <v>0</v>
      </c>
      <c r="CQ32" s="10">
        <f t="shared" si="11"/>
        <v>0</v>
      </c>
      <c r="CR32" s="10">
        <f t="shared" si="11"/>
        <v>0</v>
      </c>
      <c r="CS32" s="10">
        <f t="shared" si="11"/>
        <v>0</v>
      </c>
      <c r="CT32" s="10">
        <f t="shared" si="11"/>
        <v>0</v>
      </c>
      <c r="CU32" s="10">
        <f t="shared" si="11"/>
        <v>0</v>
      </c>
      <c r="CV32" s="10">
        <f t="shared" si="11"/>
        <v>0</v>
      </c>
      <c r="CW32" s="10">
        <f t="shared" si="11"/>
        <v>0</v>
      </c>
      <c r="CX32" s="10">
        <f t="shared" si="11"/>
        <v>0</v>
      </c>
      <c r="CY32" s="10">
        <f t="shared" si="11"/>
        <v>0</v>
      </c>
      <c r="CZ32" s="10">
        <f t="shared" si="11"/>
        <v>0</v>
      </c>
      <c r="DA32" s="10">
        <f t="shared" si="11"/>
        <v>0</v>
      </c>
    </row>
    <row r="33" spans="1:105" x14ac:dyDescent="0.25">
      <c r="A33" s="31" t="s">
        <v>145</v>
      </c>
      <c r="B33" s="30"/>
      <c r="C33" s="30"/>
      <c r="D33" s="10">
        <f t="shared" ref="D33:AL33" si="12">COUNTIFS($B$5:$B$30,"*אפסנאות*",D5:D30,"בסיס")</f>
        <v>0</v>
      </c>
      <c r="E33" s="10"/>
      <c r="F33" s="10"/>
      <c r="G33" s="10"/>
      <c r="H33" s="10">
        <f t="shared" si="12"/>
        <v>0</v>
      </c>
      <c r="I33" s="10">
        <f t="shared" si="12"/>
        <v>0</v>
      </c>
      <c r="J33" s="10">
        <f t="shared" si="12"/>
        <v>0</v>
      </c>
      <c r="K33" s="10">
        <f t="shared" si="12"/>
        <v>0</v>
      </c>
      <c r="L33" s="10">
        <f t="shared" si="12"/>
        <v>0</v>
      </c>
      <c r="M33" s="10">
        <f t="shared" si="12"/>
        <v>0</v>
      </c>
      <c r="N33" s="10">
        <f t="shared" si="12"/>
        <v>0</v>
      </c>
      <c r="O33" s="10">
        <f t="shared" si="12"/>
        <v>0</v>
      </c>
      <c r="P33" s="10">
        <f t="shared" si="12"/>
        <v>0</v>
      </c>
      <c r="Q33" s="10">
        <f t="shared" si="12"/>
        <v>0</v>
      </c>
      <c r="R33" s="10">
        <f t="shared" si="12"/>
        <v>0</v>
      </c>
      <c r="S33" s="10">
        <f t="shared" si="12"/>
        <v>0</v>
      </c>
      <c r="T33" s="10">
        <f t="shared" si="12"/>
        <v>0</v>
      </c>
      <c r="U33" s="10">
        <f t="shared" si="12"/>
        <v>0</v>
      </c>
      <c r="V33" s="10">
        <f t="shared" si="12"/>
        <v>0</v>
      </c>
      <c r="W33" s="10">
        <f t="shared" si="12"/>
        <v>0</v>
      </c>
      <c r="X33" s="10">
        <f t="shared" si="12"/>
        <v>0</v>
      </c>
      <c r="Y33" s="10">
        <f t="shared" si="12"/>
        <v>0</v>
      </c>
      <c r="Z33" s="10">
        <f t="shared" si="12"/>
        <v>0</v>
      </c>
      <c r="AA33" s="10">
        <f t="shared" si="12"/>
        <v>0</v>
      </c>
      <c r="AB33" s="10">
        <f t="shared" si="12"/>
        <v>0</v>
      </c>
      <c r="AC33" s="10">
        <f t="shared" si="12"/>
        <v>0</v>
      </c>
      <c r="AD33" s="10">
        <f t="shared" si="12"/>
        <v>0</v>
      </c>
      <c r="AE33" s="10">
        <f t="shared" si="12"/>
        <v>0</v>
      </c>
      <c r="AF33" s="10">
        <f t="shared" si="12"/>
        <v>0</v>
      </c>
      <c r="AG33" s="10">
        <f t="shared" si="12"/>
        <v>0</v>
      </c>
      <c r="AH33" s="10">
        <f t="shared" si="12"/>
        <v>0</v>
      </c>
      <c r="AI33" s="10">
        <f t="shared" si="12"/>
        <v>0</v>
      </c>
      <c r="AJ33" s="10">
        <f t="shared" si="12"/>
        <v>0</v>
      </c>
      <c r="AK33" s="10">
        <f t="shared" si="12"/>
        <v>0</v>
      </c>
      <c r="AL33" s="10">
        <f t="shared" si="12"/>
        <v>0</v>
      </c>
      <c r="AM33" s="10">
        <f t="shared" ref="AM33:BR33" si="13">COUNTIFS($B$5:$B$30,"*אפסנאות*",AM5:AM30,"בסיס")</f>
        <v>0</v>
      </c>
      <c r="AN33" s="10">
        <f t="shared" si="13"/>
        <v>0</v>
      </c>
      <c r="AO33" s="10">
        <f t="shared" si="13"/>
        <v>0</v>
      </c>
      <c r="AP33" s="10">
        <f t="shared" si="13"/>
        <v>0</v>
      </c>
      <c r="AQ33" s="10">
        <f t="shared" si="13"/>
        <v>0</v>
      </c>
      <c r="AR33" s="10">
        <f t="shared" si="13"/>
        <v>0</v>
      </c>
      <c r="AS33" s="10">
        <f t="shared" si="13"/>
        <v>0</v>
      </c>
      <c r="AT33" s="10">
        <f t="shared" si="13"/>
        <v>0</v>
      </c>
      <c r="AU33" s="10">
        <f t="shared" si="13"/>
        <v>0</v>
      </c>
      <c r="AV33" s="10">
        <f t="shared" si="13"/>
        <v>0</v>
      </c>
      <c r="AW33" s="10">
        <f t="shared" si="13"/>
        <v>0</v>
      </c>
      <c r="AX33" s="10">
        <f t="shared" si="13"/>
        <v>0</v>
      </c>
      <c r="AY33" s="10">
        <f t="shared" si="13"/>
        <v>0</v>
      </c>
      <c r="AZ33" s="10">
        <f t="shared" si="13"/>
        <v>0</v>
      </c>
      <c r="BA33" s="10">
        <f t="shared" si="13"/>
        <v>0</v>
      </c>
      <c r="BB33" s="10">
        <f t="shared" si="13"/>
        <v>0</v>
      </c>
      <c r="BC33" s="10">
        <f t="shared" si="13"/>
        <v>0</v>
      </c>
      <c r="BD33" s="10">
        <f t="shared" si="13"/>
        <v>0</v>
      </c>
      <c r="BE33" s="10">
        <f t="shared" si="13"/>
        <v>0</v>
      </c>
      <c r="BF33" s="10">
        <f t="shared" si="13"/>
        <v>0</v>
      </c>
      <c r="BG33" s="10">
        <f t="shared" si="13"/>
        <v>0</v>
      </c>
      <c r="BH33" s="10">
        <f t="shared" si="13"/>
        <v>0</v>
      </c>
      <c r="BI33" s="10">
        <f t="shared" si="13"/>
        <v>0</v>
      </c>
      <c r="BJ33" s="10">
        <f t="shared" si="13"/>
        <v>0</v>
      </c>
      <c r="BK33" s="10">
        <f t="shared" si="13"/>
        <v>0</v>
      </c>
      <c r="BL33" s="10">
        <f t="shared" si="13"/>
        <v>0</v>
      </c>
      <c r="BM33" s="10">
        <f t="shared" si="13"/>
        <v>0</v>
      </c>
      <c r="BN33" s="10">
        <f t="shared" si="13"/>
        <v>0</v>
      </c>
      <c r="BO33" s="10">
        <f t="shared" si="13"/>
        <v>0</v>
      </c>
      <c r="BP33" s="10">
        <f t="shared" si="13"/>
        <v>0</v>
      </c>
      <c r="BQ33" s="10">
        <f t="shared" si="13"/>
        <v>0</v>
      </c>
      <c r="BR33" s="10">
        <f t="shared" si="13"/>
        <v>0</v>
      </c>
      <c r="BS33" s="10">
        <f t="shared" ref="BS33:DA33" si="14">COUNTIFS($B$5:$B$30,"*אפסנאות*",BS5:BS30,"בסיס")</f>
        <v>0</v>
      </c>
      <c r="BT33" s="10">
        <f t="shared" si="14"/>
        <v>0</v>
      </c>
      <c r="BU33" s="10">
        <f t="shared" si="14"/>
        <v>0</v>
      </c>
      <c r="BV33" s="10">
        <f t="shared" si="14"/>
        <v>0</v>
      </c>
      <c r="BW33" s="10">
        <f t="shared" si="14"/>
        <v>0</v>
      </c>
      <c r="BX33" s="10">
        <f t="shared" si="14"/>
        <v>0</v>
      </c>
      <c r="BY33" s="10">
        <f t="shared" si="14"/>
        <v>0</v>
      </c>
      <c r="BZ33" s="10">
        <f t="shared" si="14"/>
        <v>0</v>
      </c>
      <c r="CA33" s="10">
        <f t="shared" si="14"/>
        <v>0</v>
      </c>
      <c r="CB33" s="10">
        <f t="shared" si="14"/>
        <v>0</v>
      </c>
      <c r="CC33" s="10">
        <f t="shared" si="14"/>
        <v>0</v>
      </c>
      <c r="CD33" s="10">
        <f t="shared" si="14"/>
        <v>0</v>
      </c>
      <c r="CE33" s="10">
        <f t="shared" si="14"/>
        <v>0</v>
      </c>
      <c r="CF33" s="10">
        <f t="shared" si="14"/>
        <v>0</v>
      </c>
      <c r="CG33" s="10">
        <f t="shared" si="14"/>
        <v>0</v>
      </c>
      <c r="CH33" s="10">
        <f t="shared" si="14"/>
        <v>0</v>
      </c>
      <c r="CI33" s="10">
        <f t="shared" si="14"/>
        <v>0</v>
      </c>
      <c r="CJ33" s="10">
        <f t="shared" si="14"/>
        <v>0</v>
      </c>
      <c r="CK33" s="10">
        <f t="shared" si="14"/>
        <v>0</v>
      </c>
      <c r="CL33" s="10">
        <f t="shared" si="14"/>
        <v>0</v>
      </c>
      <c r="CM33" s="10">
        <f t="shared" si="14"/>
        <v>0</v>
      </c>
      <c r="CN33" s="10">
        <f t="shared" si="14"/>
        <v>0</v>
      </c>
      <c r="CO33" s="10">
        <f t="shared" si="14"/>
        <v>0</v>
      </c>
      <c r="CP33" s="10">
        <f t="shared" si="14"/>
        <v>0</v>
      </c>
      <c r="CQ33" s="10">
        <f t="shared" si="14"/>
        <v>0</v>
      </c>
      <c r="CR33" s="10">
        <f t="shared" si="14"/>
        <v>0</v>
      </c>
      <c r="CS33" s="10">
        <f t="shared" si="14"/>
        <v>0</v>
      </c>
      <c r="CT33" s="10">
        <f t="shared" si="14"/>
        <v>0</v>
      </c>
      <c r="CU33" s="10">
        <f t="shared" si="14"/>
        <v>0</v>
      </c>
      <c r="CV33" s="10">
        <f t="shared" si="14"/>
        <v>0</v>
      </c>
      <c r="CW33" s="10">
        <f t="shared" si="14"/>
        <v>0</v>
      </c>
      <c r="CX33" s="10">
        <f t="shared" si="14"/>
        <v>0</v>
      </c>
      <c r="CY33" s="10">
        <f t="shared" si="14"/>
        <v>0</v>
      </c>
      <c r="CZ33" s="10">
        <f t="shared" si="14"/>
        <v>0</v>
      </c>
      <c r="DA33" s="10">
        <f t="shared" si="14"/>
        <v>0</v>
      </c>
    </row>
    <row r="34" spans="1:105" x14ac:dyDescent="0.25">
      <c r="A34" s="31" t="s">
        <v>146</v>
      </c>
      <c r="B34" s="30"/>
      <c r="C34" s="30"/>
      <c r="D34" s="10">
        <f>COUNTIF(D5:D30,"בית")</f>
        <v>0</v>
      </c>
      <c r="E34" s="10"/>
      <c r="F34" s="10"/>
      <c r="G34" s="10"/>
      <c r="H34" s="10">
        <f t="shared" ref="H34:AL34" si="15">COUNTIF(H5:H30,"בית")</f>
        <v>0</v>
      </c>
      <c r="I34" s="10">
        <f t="shared" si="15"/>
        <v>0</v>
      </c>
      <c r="J34" s="10">
        <f t="shared" si="15"/>
        <v>0</v>
      </c>
      <c r="K34" s="10">
        <f t="shared" si="15"/>
        <v>0</v>
      </c>
      <c r="L34" s="10">
        <f t="shared" si="15"/>
        <v>0</v>
      </c>
      <c r="M34" s="10">
        <f t="shared" si="15"/>
        <v>0</v>
      </c>
      <c r="N34" s="10">
        <f t="shared" si="15"/>
        <v>0</v>
      </c>
      <c r="O34" s="10">
        <f t="shared" si="15"/>
        <v>0</v>
      </c>
      <c r="P34" s="10">
        <f t="shared" si="15"/>
        <v>0</v>
      </c>
      <c r="Q34" s="10">
        <f t="shared" si="15"/>
        <v>0</v>
      </c>
      <c r="R34" s="10">
        <f t="shared" si="15"/>
        <v>0</v>
      </c>
      <c r="S34" s="10">
        <f t="shared" si="15"/>
        <v>0</v>
      </c>
      <c r="T34" s="10">
        <f t="shared" si="15"/>
        <v>0</v>
      </c>
      <c r="U34" s="10">
        <f t="shared" si="15"/>
        <v>0</v>
      </c>
      <c r="V34" s="10">
        <f t="shared" si="15"/>
        <v>0</v>
      </c>
      <c r="W34" s="10">
        <f t="shared" si="15"/>
        <v>0</v>
      </c>
      <c r="X34" s="10">
        <f t="shared" si="15"/>
        <v>0</v>
      </c>
      <c r="Y34" s="10">
        <f t="shared" si="15"/>
        <v>0</v>
      </c>
      <c r="Z34" s="10">
        <f t="shared" si="15"/>
        <v>0</v>
      </c>
      <c r="AA34" s="10">
        <f t="shared" si="15"/>
        <v>0</v>
      </c>
      <c r="AB34" s="10">
        <f t="shared" si="15"/>
        <v>0</v>
      </c>
      <c r="AC34" s="10">
        <f t="shared" si="15"/>
        <v>0</v>
      </c>
      <c r="AD34" s="10">
        <f t="shared" si="15"/>
        <v>0</v>
      </c>
      <c r="AE34" s="10">
        <f t="shared" si="15"/>
        <v>0</v>
      </c>
      <c r="AF34" s="10">
        <f t="shared" si="15"/>
        <v>0</v>
      </c>
      <c r="AG34" s="10">
        <f t="shared" si="15"/>
        <v>1</v>
      </c>
      <c r="AH34" s="10">
        <f t="shared" si="15"/>
        <v>0</v>
      </c>
      <c r="AI34" s="10">
        <f t="shared" si="15"/>
        <v>0</v>
      </c>
      <c r="AJ34" s="10">
        <f t="shared" si="15"/>
        <v>0</v>
      </c>
      <c r="AK34" s="10">
        <f t="shared" si="15"/>
        <v>0</v>
      </c>
      <c r="AL34" s="10">
        <f t="shared" si="15"/>
        <v>0</v>
      </c>
      <c r="AM34" s="10">
        <f t="shared" ref="AM34:BR34" si="16">COUNTIF(AM5:AM30,"בית")</f>
        <v>0</v>
      </c>
      <c r="AN34" s="10">
        <f t="shared" si="16"/>
        <v>0</v>
      </c>
      <c r="AO34" s="10">
        <f t="shared" si="16"/>
        <v>0</v>
      </c>
      <c r="AP34" s="10">
        <f t="shared" si="16"/>
        <v>0</v>
      </c>
      <c r="AQ34" s="10">
        <f t="shared" si="16"/>
        <v>0</v>
      </c>
      <c r="AR34" s="10">
        <f t="shared" si="16"/>
        <v>0</v>
      </c>
      <c r="AS34" s="10">
        <f t="shared" si="16"/>
        <v>0</v>
      </c>
      <c r="AT34" s="10">
        <f t="shared" si="16"/>
        <v>0</v>
      </c>
      <c r="AU34" s="10">
        <f t="shared" si="16"/>
        <v>0</v>
      </c>
      <c r="AV34" s="10">
        <f t="shared" si="16"/>
        <v>0</v>
      </c>
      <c r="AW34" s="10">
        <f t="shared" si="16"/>
        <v>0</v>
      </c>
      <c r="AX34" s="10">
        <f t="shared" si="16"/>
        <v>0</v>
      </c>
      <c r="AY34" s="10">
        <f t="shared" si="16"/>
        <v>0</v>
      </c>
      <c r="AZ34" s="10">
        <f t="shared" si="16"/>
        <v>0</v>
      </c>
      <c r="BA34" s="10">
        <f t="shared" si="16"/>
        <v>0</v>
      </c>
      <c r="BB34" s="10">
        <f t="shared" si="16"/>
        <v>0</v>
      </c>
      <c r="BC34" s="10">
        <f t="shared" si="16"/>
        <v>0</v>
      </c>
      <c r="BD34" s="10">
        <f t="shared" si="16"/>
        <v>0</v>
      </c>
      <c r="BE34" s="10">
        <f t="shared" si="16"/>
        <v>0</v>
      </c>
      <c r="BF34" s="10">
        <f t="shared" si="16"/>
        <v>0</v>
      </c>
      <c r="BG34" s="10">
        <f t="shared" si="16"/>
        <v>0</v>
      </c>
      <c r="BH34" s="10">
        <f t="shared" si="16"/>
        <v>0</v>
      </c>
      <c r="BI34" s="10">
        <f t="shared" si="16"/>
        <v>0</v>
      </c>
      <c r="BJ34" s="10">
        <f t="shared" si="16"/>
        <v>0</v>
      </c>
      <c r="BK34" s="10">
        <f t="shared" si="16"/>
        <v>0</v>
      </c>
      <c r="BL34" s="10">
        <f t="shared" si="16"/>
        <v>0</v>
      </c>
      <c r="BM34" s="10">
        <f t="shared" si="16"/>
        <v>0</v>
      </c>
      <c r="BN34" s="10">
        <f t="shared" si="16"/>
        <v>0</v>
      </c>
      <c r="BO34" s="10">
        <f t="shared" si="16"/>
        <v>0</v>
      </c>
      <c r="BP34" s="10">
        <f t="shared" si="16"/>
        <v>0</v>
      </c>
      <c r="BQ34" s="10">
        <f t="shared" si="16"/>
        <v>0</v>
      </c>
      <c r="BR34" s="10">
        <f t="shared" si="16"/>
        <v>0</v>
      </c>
      <c r="BS34" s="10">
        <f t="shared" ref="BS34:DA34" si="17">COUNTIF(BS5:BS30,"בית")</f>
        <v>0</v>
      </c>
      <c r="BT34" s="10">
        <f t="shared" si="17"/>
        <v>0</v>
      </c>
      <c r="BU34" s="10">
        <f t="shared" si="17"/>
        <v>0</v>
      </c>
      <c r="BV34" s="10">
        <f t="shared" si="17"/>
        <v>0</v>
      </c>
      <c r="BW34" s="10">
        <f t="shared" si="17"/>
        <v>0</v>
      </c>
      <c r="BX34" s="10">
        <f t="shared" si="17"/>
        <v>0</v>
      </c>
      <c r="BY34" s="10">
        <f t="shared" si="17"/>
        <v>0</v>
      </c>
      <c r="BZ34" s="10">
        <f t="shared" si="17"/>
        <v>0</v>
      </c>
      <c r="CA34" s="10">
        <f t="shared" si="17"/>
        <v>0</v>
      </c>
      <c r="CB34" s="10">
        <f t="shared" si="17"/>
        <v>0</v>
      </c>
      <c r="CC34" s="10">
        <f t="shared" si="17"/>
        <v>0</v>
      </c>
      <c r="CD34" s="10">
        <f t="shared" si="17"/>
        <v>0</v>
      </c>
      <c r="CE34" s="10">
        <f t="shared" si="17"/>
        <v>0</v>
      </c>
      <c r="CF34" s="10">
        <f t="shared" si="17"/>
        <v>0</v>
      </c>
      <c r="CG34" s="10">
        <f t="shared" si="17"/>
        <v>0</v>
      </c>
      <c r="CH34" s="10">
        <f t="shared" si="17"/>
        <v>0</v>
      </c>
      <c r="CI34" s="10">
        <f t="shared" si="17"/>
        <v>0</v>
      </c>
      <c r="CJ34" s="10">
        <f t="shared" si="17"/>
        <v>0</v>
      </c>
      <c r="CK34" s="10">
        <f t="shared" si="17"/>
        <v>0</v>
      </c>
      <c r="CL34" s="10">
        <f t="shared" si="17"/>
        <v>0</v>
      </c>
      <c r="CM34" s="10">
        <f t="shared" si="17"/>
        <v>0</v>
      </c>
      <c r="CN34" s="10">
        <f t="shared" si="17"/>
        <v>0</v>
      </c>
      <c r="CO34" s="10">
        <f t="shared" si="17"/>
        <v>0</v>
      </c>
      <c r="CP34" s="10">
        <f t="shared" si="17"/>
        <v>0</v>
      </c>
      <c r="CQ34" s="10">
        <f t="shared" si="17"/>
        <v>0</v>
      </c>
      <c r="CR34" s="10">
        <f t="shared" si="17"/>
        <v>0</v>
      </c>
      <c r="CS34" s="10">
        <f t="shared" si="17"/>
        <v>0</v>
      </c>
      <c r="CT34" s="10">
        <f t="shared" si="17"/>
        <v>0</v>
      </c>
      <c r="CU34" s="10">
        <f t="shared" si="17"/>
        <v>0</v>
      </c>
      <c r="CV34" s="10">
        <f t="shared" si="17"/>
        <v>0</v>
      </c>
      <c r="CW34" s="10">
        <f t="shared" si="17"/>
        <v>0</v>
      </c>
      <c r="CX34" s="10">
        <f t="shared" si="17"/>
        <v>0</v>
      </c>
      <c r="CY34" s="10">
        <f t="shared" si="17"/>
        <v>0</v>
      </c>
      <c r="CZ34" s="10">
        <f t="shared" si="17"/>
        <v>0</v>
      </c>
      <c r="DA34" s="10">
        <f t="shared" si="17"/>
        <v>0</v>
      </c>
    </row>
    <row r="36" spans="1:105" hidden="1" x14ac:dyDescent="0.25">
      <c r="A36" t="s">
        <v>147</v>
      </c>
      <c r="D36">
        <v>0</v>
      </c>
      <c r="H36">
        <v>0</v>
      </c>
      <c r="I36">
        <v>0</v>
      </c>
      <c r="J36">
        <v>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1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1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1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1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1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1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1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1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1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1</v>
      </c>
      <c r="CX36">
        <v>0</v>
      </c>
      <c r="CY36">
        <v>0</v>
      </c>
      <c r="CZ36">
        <v>0</v>
      </c>
      <c r="DA36">
        <v>0</v>
      </c>
    </row>
    <row r="37" spans="1:105" hidden="1" x14ac:dyDescent="0.25">
      <c r="A37" t="s">
        <v>148</v>
      </c>
      <c r="D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1</v>
      </c>
      <c r="CI37">
        <v>1</v>
      </c>
      <c r="CJ37">
        <v>1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1</v>
      </c>
      <c r="CR37">
        <v>1</v>
      </c>
      <c r="CS37">
        <v>0</v>
      </c>
      <c r="CT37">
        <v>0</v>
      </c>
      <c r="CU37">
        <v>0</v>
      </c>
      <c r="CV37">
        <v>1</v>
      </c>
      <c r="CW37">
        <v>1</v>
      </c>
      <c r="CX37">
        <v>0</v>
      </c>
      <c r="CY37">
        <v>0</v>
      </c>
      <c r="CZ37">
        <v>0</v>
      </c>
      <c r="DA37">
        <v>0</v>
      </c>
    </row>
    <row r="38" spans="1:105" x14ac:dyDescent="0.25">
      <c r="A38" s="11" t="s">
        <v>149</v>
      </c>
    </row>
    <row r="39" spans="1:105" x14ac:dyDescent="0.25">
      <c r="A39" s="12" t="s">
        <v>150</v>
      </c>
      <c r="B39" s="3">
        <v>12</v>
      </c>
    </row>
    <row r="40" spans="1:105" x14ac:dyDescent="0.25">
      <c r="A40" s="12" t="s">
        <v>151</v>
      </c>
      <c r="B40" s="3">
        <v>2</v>
      </c>
    </row>
    <row r="41" spans="1:105" x14ac:dyDescent="0.25">
      <c r="A41" s="12" t="s">
        <v>152</v>
      </c>
      <c r="B41" s="3">
        <v>2</v>
      </c>
    </row>
  </sheetData>
  <mergeCells count="10">
    <mergeCell ref="BX2:DA2"/>
    <mergeCell ref="A34:C34"/>
    <mergeCell ref="A1:DE1"/>
    <mergeCell ref="A33:C33"/>
    <mergeCell ref="N2:AR2"/>
    <mergeCell ref="A32:C32"/>
    <mergeCell ref="AS2:BW2"/>
    <mergeCell ref="A31:C31"/>
    <mergeCell ref="D2:M2"/>
    <mergeCell ref="A4:C4"/>
  </mergeCells>
  <conditionalFormatting sqref="D5:DA30">
    <cfRule type="cellIs" dxfId="8" priority="4" operator="equal">
      <formula>"בסיס"</formula>
    </cfRule>
    <cfRule type="cellIs" dxfId="7" priority="5" operator="equal">
      <formula>"בית"</formula>
    </cfRule>
    <cfRule type="cellIs" dxfId="6" priority="6" operator="equal">
      <formula>"חופשה"</formula>
    </cfRule>
    <cfRule type="cellIs" dxfId="5" priority="7" operator="equal">
      <formula>"גימלים"</formula>
    </cfRule>
    <cfRule type="cellIs" dxfId="4" priority="8" operator="equal">
      <formula>"קורס"</formula>
    </cfRule>
    <cfRule type="cellIs" dxfId="3" priority="9" operator="equal">
      <formula>"ת״ש"</formula>
    </cfRule>
  </conditionalFormatting>
  <conditionalFormatting sqref="D31:DA31">
    <cfRule type="cellIs" dxfId="2" priority="1" operator="lessThan">
      <formula>$B$39</formula>
    </cfRule>
  </conditionalFormatting>
  <conditionalFormatting sqref="D32:DA32">
    <cfRule type="cellIs" dxfId="1" priority="2" operator="lessThan">
      <formula>$B$40</formula>
    </cfRule>
  </conditionalFormatting>
  <conditionalFormatting sqref="D33:DA33">
    <cfRule type="cellIs" dxfId="0" priority="3" operator="lessThan">
      <formula>$B$41</formula>
    </cfRule>
  </conditionalFormatting>
  <conditionalFormatting sqref="DD5:DD30">
    <cfRule type="colorScale" priority="10">
      <colorScale>
        <cfvo type="min"/>
        <cfvo type="percentile" val="50"/>
        <cfvo type="max"/>
        <color rgb="FFC6EFCE"/>
        <color rgb="FFFFEB9C"/>
        <color rgb="FFFFC7CE"/>
      </colorScale>
    </cfRule>
  </conditionalFormatting>
  <dataValidations count="1">
    <dataValidation type="list" allowBlank="1" sqref="D5:DA30" xr:uid="{00000000-0002-0000-0000-000000000000}">
      <formula1>"בסיס,בית,חופשה,גימלים,קורס,ת״ש"</formula1>
    </dataValidation>
  </dataValidation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rightToLeft="1" workbookViewId="0"/>
  </sheetViews>
  <sheetFormatPr defaultRowHeight="13.8" x14ac:dyDescent="0.25"/>
  <cols>
    <col min="1" max="1" width="6" customWidth="1"/>
    <col min="2" max="2" width="34" customWidth="1"/>
  </cols>
  <sheetData>
    <row r="1" spans="1:2" ht="16.8" x14ac:dyDescent="0.3">
      <c r="B1" s="13" t="s">
        <v>153</v>
      </c>
    </row>
    <row r="3" spans="1:2" x14ac:dyDescent="0.25">
      <c r="B3" s="11" t="s">
        <v>154</v>
      </c>
    </row>
    <row r="4" spans="1:2" x14ac:dyDescent="0.25">
      <c r="A4" s="14"/>
      <c r="B4" s="15" t="s">
        <v>155</v>
      </c>
    </row>
    <row r="5" spans="1:2" x14ac:dyDescent="0.25">
      <c r="A5" s="16"/>
      <c r="B5" s="15" t="s">
        <v>156</v>
      </c>
    </row>
    <row r="6" spans="1:2" x14ac:dyDescent="0.25">
      <c r="B6" s="11" t="s">
        <v>157</v>
      </c>
    </row>
    <row r="7" spans="1:2" x14ac:dyDescent="0.25">
      <c r="A7" s="17"/>
      <c r="B7" s="15" t="s">
        <v>113</v>
      </c>
    </row>
    <row r="8" spans="1:2" x14ac:dyDescent="0.25">
      <c r="A8" s="18"/>
      <c r="B8" s="15" t="s">
        <v>114</v>
      </c>
    </row>
    <row r="9" spans="1:2" x14ac:dyDescent="0.25">
      <c r="A9" s="19"/>
      <c r="B9" s="15" t="s">
        <v>115</v>
      </c>
    </row>
    <row r="10" spans="1:2" x14ac:dyDescent="0.25">
      <c r="A10" s="20"/>
      <c r="B10" s="15" t="s">
        <v>116</v>
      </c>
    </row>
    <row r="11" spans="1:2" x14ac:dyDescent="0.25">
      <c r="A11" s="21"/>
      <c r="B11" s="15" t="s">
        <v>117</v>
      </c>
    </row>
    <row r="12" spans="1:2" x14ac:dyDescent="0.25">
      <c r="A12" s="22"/>
      <c r="B12" s="15" t="s">
        <v>118</v>
      </c>
    </row>
    <row r="13" spans="1:2" x14ac:dyDescent="0.25">
      <c r="B13" s="11" t="s">
        <v>158</v>
      </c>
    </row>
    <row r="14" spans="1:2" x14ac:dyDescent="0.25">
      <c r="A14" s="23"/>
      <c r="B14" s="15" t="s">
        <v>159</v>
      </c>
    </row>
    <row r="16" spans="1:2" x14ac:dyDescent="0.25">
      <c r="B16" s="15" t="s">
        <v>160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1"/>
  <sheetViews>
    <sheetView rightToLeft="1" workbookViewId="0">
      <pane ySplit="2" topLeftCell="A3" activePane="bottomLeft" state="frozen"/>
      <selection pane="bottomLeft" activeCell="I23" sqref="I23"/>
    </sheetView>
  </sheetViews>
  <sheetFormatPr defaultRowHeight="13.8" x14ac:dyDescent="0.25"/>
  <cols>
    <col min="1" max="1" width="15.8984375" customWidth="1"/>
    <col min="2" max="2" width="14" customWidth="1"/>
    <col min="3" max="3" width="10" customWidth="1"/>
    <col min="4" max="4" width="14" customWidth="1"/>
    <col min="5" max="5" width="26" customWidth="1"/>
    <col min="6" max="6" width="32" customWidth="1"/>
  </cols>
  <sheetData>
    <row r="1" spans="1:6" ht="14.25" customHeight="1" x14ac:dyDescent="0.25">
      <c r="A1" s="32" t="s">
        <v>161</v>
      </c>
      <c r="B1" s="30"/>
      <c r="C1" s="30"/>
      <c r="D1" s="30"/>
      <c r="E1" s="30"/>
      <c r="F1" s="30"/>
    </row>
    <row r="2" spans="1:6" x14ac:dyDescent="0.25">
      <c r="A2" s="1" t="s">
        <v>5</v>
      </c>
      <c r="B2" s="1" t="s">
        <v>6</v>
      </c>
      <c r="C2" s="1" t="s">
        <v>162</v>
      </c>
      <c r="D2" s="1" t="s">
        <v>163</v>
      </c>
      <c r="E2" s="1" t="s">
        <v>164</v>
      </c>
      <c r="F2" s="1" t="s">
        <v>7</v>
      </c>
    </row>
    <row r="3" spans="1:6" x14ac:dyDescent="0.25">
      <c r="A3" s="5" t="s">
        <v>111</v>
      </c>
      <c r="B3" s="6" t="s">
        <v>112</v>
      </c>
      <c r="C3" s="9" t="s">
        <v>172</v>
      </c>
      <c r="D3" s="9"/>
      <c r="E3" s="9"/>
      <c r="F3" s="9"/>
    </row>
    <row r="4" spans="1:6" x14ac:dyDescent="0.25">
      <c r="A4" s="5" t="s">
        <v>119</v>
      </c>
      <c r="B4" s="6" t="s">
        <v>167</v>
      </c>
      <c r="C4" s="9" t="s">
        <v>172</v>
      </c>
      <c r="D4" s="9" t="s">
        <v>173</v>
      </c>
      <c r="E4" s="9"/>
      <c r="F4" s="9"/>
    </row>
    <row r="5" spans="1:6" x14ac:dyDescent="0.25">
      <c r="A5" s="5" t="s">
        <v>120</v>
      </c>
      <c r="B5" s="6" t="s">
        <v>168</v>
      </c>
      <c r="C5" s="9" t="s">
        <v>172</v>
      </c>
      <c r="D5" s="9" t="s">
        <v>174</v>
      </c>
      <c r="E5" s="9"/>
      <c r="F5" s="9" t="s">
        <v>175</v>
      </c>
    </row>
    <row r="6" spans="1:6" x14ac:dyDescent="0.25">
      <c r="A6" s="5" t="s">
        <v>121</v>
      </c>
      <c r="B6" s="6" t="s">
        <v>169</v>
      </c>
      <c r="C6" s="9"/>
      <c r="D6" s="9"/>
      <c r="E6" s="9"/>
      <c r="F6" s="9"/>
    </row>
    <row r="7" spans="1:6" x14ac:dyDescent="0.25">
      <c r="A7" s="5" t="s">
        <v>122</v>
      </c>
      <c r="B7" s="6" t="s">
        <v>169</v>
      </c>
      <c r="C7" s="9" t="s">
        <v>172</v>
      </c>
      <c r="D7" s="9" t="s">
        <v>173</v>
      </c>
      <c r="E7" s="9"/>
      <c r="F7" s="9" t="s">
        <v>176</v>
      </c>
    </row>
    <row r="8" spans="1:6" x14ac:dyDescent="0.25">
      <c r="A8" s="5" t="s">
        <v>123</v>
      </c>
      <c r="B8" s="6" t="s">
        <v>169</v>
      </c>
      <c r="C8" s="9"/>
      <c r="D8" s="9"/>
      <c r="E8" s="9"/>
      <c r="F8" s="9"/>
    </row>
    <row r="9" spans="1:6" x14ac:dyDescent="0.25">
      <c r="A9" s="5" t="s">
        <v>124</v>
      </c>
      <c r="B9" s="6" t="s">
        <v>168</v>
      </c>
      <c r="C9" s="9" t="s">
        <v>172</v>
      </c>
      <c r="D9" s="9" t="s">
        <v>173</v>
      </c>
      <c r="E9" s="9"/>
      <c r="F9" s="9" t="s">
        <v>177</v>
      </c>
    </row>
    <row r="10" spans="1:6" x14ac:dyDescent="0.25">
      <c r="A10" s="5" t="s">
        <v>125</v>
      </c>
      <c r="B10" s="6" t="s">
        <v>168</v>
      </c>
      <c r="C10" s="9"/>
      <c r="D10" s="9"/>
      <c r="E10" s="9"/>
      <c r="F10" s="9"/>
    </row>
    <row r="11" spans="1:6" x14ac:dyDescent="0.25">
      <c r="A11" s="5" t="s">
        <v>126</v>
      </c>
      <c r="B11" s="6" t="s">
        <v>168</v>
      </c>
      <c r="C11" s="9" t="s">
        <v>172</v>
      </c>
      <c r="D11" s="9" t="s">
        <v>174</v>
      </c>
      <c r="E11" s="9"/>
      <c r="F11" s="9"/>
    </row>
    <row r="12" spans="1:6" x14ac:dyDescent="0.25">
      <c r="A12" s="5" t="s">
        <v>127</v>
      </c>
      <c r="B12" s="6" t="s">
        <v>168</v>
      </c>
      <c r="C12" s="9" t="s">
        <v>172</v>
      </c>
      <c r="D12" s="9" t="s">
        <v>174</v>
      </c>
      <c r="E12" s="9"/>
      <c r="F12" s="9"/>
    </row>
    <row r="13" spans="1:6" x14ac:dyDescent="0.25">
      <c r="A13" s="5" t="s">
        <v>128</v>
      </c>
      <c r="B13" s="6" t="s">
        <v>168</v>
      </c>
      <c r="C13" s="9"/>
      <c r="D13" s="9"/>
      <c r="E13" s="9"/>
      <c r="F13" s="9"/>
    </row>
    <row r="14" spans="1:6" x14ac:dyDescent="0.25">
      <c r="A14" s="5" t="s">
        <v>129</v>
      </c>
      <c r="B14" s="6" t="s">
        <v>168</v>
      </c>
      <c r="C14" s="9"/>
      <c r="D14" s="9"/>
      <c r="E14" s="9"/>
      <c r="F14" s="9"/>
    </row>
    <row r="15" spans="1:6" x14ac:dyDescent="0.25">
      <c r="A15" s="5" t="s">
        <v>130</v>
      </c>
      <c r="B15" s="6" t="s">
        <v>168</v>
      </c>
      <c r="C15" s="9" t="s">
        <v>172</v>
      </c>
      <c r="D15" s="9" t="s">
        <v>174</v>
      </c>
      <c r="E15" s="9"/>
      <c r="F15" s="9"/>
    </row>
    <row r="16" spans="1:6" x14ac:dyDescent="0.25">
      <c r="A16" s="5" t="s">
        <v>131</v>
      </c>
      <c r="B16" s="6" t="s">
        <v>170</v>
      </c>
      <c r="C16" s="9" t="s">
        <v>172</v>
      </c>
      <c r="D16" s="9" t="s">
        <v>174</v>
      </c>
      <c r="E16" s="9"/>
      <c r="F16" s="9" t="s">
        <v>178</v>
      </c>
    </row>
    <row r="17" spans="1:6" x14ac:dyDescent="0.25">
      <c r="A17" s="5" t="s">
        <v>132</v>
      </c>
      <c r="B17" s="6" t="s">
        <v>169</v>
      </c>
      <c r="C17" s="9"/>
      <c r="D17" s="9"/>
      <c r="E17" s="9"/>
      <c r="F17" s="9"/>
    </row>
    <row r="18" spans="1:6" x14ac:dyDescent="0.25">
      <c r="A18" s="5" t="s">
        <v>133</v>
      </c>
      <c r="B18" s="6" t="s">
        <v>168</v>
      </c>
      <c r="C18" s="9" t="s">
        <v>172</v>
      </c>
      <c r="D18" s="9" t="s">
        <v>173</v>
      </c>
      <c r="E18" s="9"/>
      <c r="F18" s="9"/>
    </row>
    <row r="19" spans="1:6" x14ac:dyDescent="0.25">
      <c r="A19" s="5" t="s">
        <v>134</v>
      </c>
      <c r="B19" s="6" t="s">
        <v>171</v>
      </c>
      <c r="C19" s="9"/>
      <c r="D19" s="9"/>
      <c r="E19" s="9"/>
      <c r="F19" s="9"/>
    </row>
    <row r="20" spans="1:6" x14ac:dyDescent="0.25">
      <c r="A20" s="5" t="s">
        <v>135</v>
      </c>
      <c r="B20" s="6" t="s">
        <v>168</v>
      </c>
      <c r="C20" s="9" t="s">
        <v>172</v>
      </c>
      <c r="D20" s="9" t="s">
        <v>179</v>
      </c>
      <c r="E20" s="9"/>
      <c r="F20" s="9" t="s">
        <v>180</v>
      </c>
    </row>
    <row r="21" spans="1:6" x14ac:dyDescent="0.25">
      <c r="A21" s="5" t="s">
        <v>136</v>
      </c>
      <c r="B21" s="6" t="s">
        <v>168</v>
      </c>
      <c r="C21" s="9"/>
      <c r="D21" s="9"/>
      <c r="E21" s="9"/>
      <c r="F21" s="9"/>
    </row>
    <row r="22" spans="1:6" x14ac:dyDescent="0.25">
      <c r="A22" s="5" t="s">
        <v>137</v>
      </c>
      <c r="B22" s="6" t="s">
        <v>168</v>
      </c>
      <c r="C22" s="9"/>
      <c r="D22" s="9"/>
      <c r="E22" s="9"/>
      <c r="F22" s="9"/>
    </row>
    <row r="23" spans="1:6" ht="27.6" x14ac:dyDescent="0.25">
      <c r="A23" s="5" t="s">
        <v>138</v>
      </c>
      <c r="B23" s="6" t="s">
        <v>168</v>
      </c>
      <c r="C23" s="9" t="s">
        <v>172</v>
      </c>
      <c r="D23" s="9" t="s">
        <v>179</v>
      </c>
      <c r="E23" s="9"/>
      <c r="F23" s="25" t="s">
        <v>181</v>
      </c>
    </row>
    <row r="24" spans="1:6" ht="27.6" x14ac:dyDescent="0.25">
      <c r="A24" s="5" t="s">
        <v>139</v>
      </c>
      <c r="B24" s="6" t="s">
        <v>168</v>
      </c>
      <c r="C24" s="9" t="s">
        <v>172</v>
      </c>
      <c r="D24" s="9" t="s">
        <v>174</v>
      </c>
      <c r="E24" s="9"/>
      <c r="F24" s="9" t="s">
        <v>182</v>
      </c>
    </row>
    <row r="25" spans="1:6" x14ac:dyDescent="0.25">
      <c r="A25" s="5" t="s">
        <v>140</v>
      </c>
      <c r="B25" s="6" t="s">
        <v>168</v>
      </c>
      <c r="C25" s="9"/>
      <c r="D25" s="9"/>
      <c r="E25" s="9"/>
      <c r="F25" s="9"/>
    </row>
    <row r="26" spans="1:6" x14ac:dyDescent="0.25">
      <c r="A26" s="5" t="s">
        <v>141</v>
      </c>
      <c r="B26" s="6" t="s">
        <v>168</v>
      </c>
      <c r="C26" s="9"/>
      <c r="D26" s="9"/>
      <c r="E26" s="9"/>
      <c r="F26" s="9"/>
    </row>
    <row r="27" spans="1:6" x14ac:dyDescent="0.25">
      <c r="A27" s="5" t="s">
        <v>142</v>
      </c>
      <c r="B27" s="6" t="s">
        <v>168</v>
      </c>
      <c r="C27" s="9" t="s">
        <v>172</v>
      </c>
      <c r="D27" s="9" t="s">
        <v>174</v>
      </c>
      <c r="E27" s="9"/>
      <c r="F27" s="9" t="s">
        <v>178</v>
      </c>
    </row>
    <row r="29" spans="1:6" x14ac:dyDescent="0.25">
      <c r="A29" s="11" t="s">
        <v>165</v>
      </c>
      <c r="B29" s="24">
        <f>COUNTIF(C3:C27,"כן")</f>
        <v>14</v>
      </c>
    </row>
    <row r="30" spans="1:6" x14ac:dyDescent="0.25">
      <c r="A30" s="11" t="s">
        <v>166</v>
      </c>
      <c r="B30" s="24">
        <f>COUNTIF(C3:C27,"לא")</f>
        <v>0</v>
      </c>
    </row>
    <row r="31" spans="1:6" x14ac:dyDescent="0.25">
      <c r="A31" s="11" t="s">
        <v>166</v>
      </c>
      <c r="B31" s="24">
        <f>COUNTIF(C3:C28,"לא")</f>
        <v>0</v>
      </c>
    </row>
  </sheetData>
  <mergeCells count="1">
    <mergeCell ref="A1:F1"/>
  </mergeCells>
  <conditionalFormatting sqref="C3:C27">
    <cfRule type="cellIs" dxfId="10" priority="1" operator="equal">
      <formula>"כן"</formula>
    </cfRule>
    <cfRule type="cellIs" dxfId="9" priority="2" operator="equal">
      <formula>"לא"</formula>
    </cfRule>
  </conditionalFormatting>
  <dataValidations count="1">
    <dataValidation type="list" allowBlank="1" sqref="C3:C27" xr:uid="{C2CC8F45-744F-41F0-A5D2-3569A778DD05}">
      <formula1>"כן,לא"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שבצק יציאות</vt:lpstr>
      <vt:lpstr>מקרא</vt:lpstr>
      <vt:lpstr>שיחות עם חיילים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איתי עוזיאל</cp:lastModifiedBy>
  <dcterms:created xsi:type="dcterms:W3CDTF">2026-05-29T07:13:20Z</dcterms:created>
  <dcterms:modified xsi:type="dcterms:W3CDTF">2026-06-13T20:07:56Z</dcterms:modified>
</cp:coreProperties>
</file>