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קירה" sheetId="1" state="visible" r:id="rId1"/>
    <sheet name="צי הרחפנים" sheetId="2" state="visible" r:id="rId2"/>
    <sheet name="יומן השאלות" sheetId="3" state="visible" r:id="rId3"/>
    <sheet name="תכולת ערכת EVO" sheetId="4" state="visible" r:id="rId4"/>
    <sheet name="תכולת ערכת AVATA" sheetId="5" state="visible" r:id="rId5"/>
    <sheet name="חיילים" sheetId="6" state="visible" r:id="rId6"/>
    <sheet name="מקרא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sz val="13"/>
    </font>
    <font>
      <b val="1"/>
    </font>
    <font>
      <b val="1"/>
      <sz val="12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D96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AA7BD"/>
      </left>
      <right style="thin">
        <color rgb="009AA7BD"/>
      </right>
      <top style="thin">
        <color rgb="009AA7BD"/>
      </top>
      <bottom style="thin">
        <color rgb="009AA7B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3" fillId="0" borderId="0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3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dxfs count="5">
    <dxf>
      <font>
        <b val="1"/>
      </font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FD96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4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26" customHeight="1">
      <c r="A1" s="1" t="inlineStr">
        <is>
          <t>מערכת ניהול רחפנים – ארמו"ן גדוד 28</t>
        </is>
      </c>
    </row>
    <row r="3">
      <c r="A3" s="2" t="inlineStr">
        <is>
          <t>סיכום צי</t>
        </is>
      </c>
    </row>
    <row r="4">
      <c r="A4" s="3" t="inlineStr">
        <is>
          <t>סה"כ רחפנים</t>
        </is>
      </c>
      <c r="B4" s="4">
        <f>COUNTA('צי הרחפנים'!$B$3:$B$52)</f>
        <v/>
      </c>
      <c r="D4" s="5" t="inlineStr">
        <is>
          <t>סוג \ סטטוס</t>
        </is>
      </c>
      <c r="E4" s="5" t="inlineStr">
        <is>
          <t>במחסן</t>
        </is>
      </c>
      <c r="F4" s="5" t="inlineStr">
        <is>
          <t>הושאל</t>
        </is>
      </c>
      <c r="G4" s="5" t="inlineStr">
        <is>
          <t>בתיקון</t>
        </is>
      </c>
      <c r="H4" s="5" t="inlineStr">
        <is>
          <t>מושבת</t>
        </is>
      </c>
    </row>
    <row r="5">
      <c r="A5" s="3" t="inlineStr">
        <is>
          <t>EVO</t>
        </is>
      </c>
      <c r="B5" s="6">
        <f>COUNTIF('צי הרחפנים'!$C$3:$C$52,"EVO")</f>
        <v/>
      </c>
      <c r="D5" s="7" t="inlineStr">
        <is>
          <t>EVO</t>
        </is>
      </c>
      <c r="E5" s="8">
        <f>COUNTIFS('צי הרחפנים'!$C$3:$C$52,"EVO",'צי הרחפנים'!$E$3:$E$52,"במחסן")</f>
        <v/>
      </c>
      <c r="F5" s="8">
        <f>COUNTIFS('צי הרחפנים'!$C$3:$C$52,"EVO",'צי הרחפנים'!$E$3:$E$52,"הושאל")</f>
        <v/>
      </c>
      <c r="G5" s="8">
        <f>COUNTIFS('צי הרחפנים'!$C$3:$C$52,"EVO",'צי הרחפנים'!$E$3:$E$52,"בתיקון")</f>
        <v/>
      </c>
      <c r="H5" s="8">
        <f>COUNTIFS('צי הרחפנים'!$C$3:$C$52,"EVO",'צי הרחפנים'!$E$3:$E$52,"מושבת")</f>
        <v/>
      </c>
    </row>
    <row r="6">
      <c r="A6" s="3" t="inlineStr">
        <is>
          <t>AVATA</t>
        </is>
      </c>
      <c r="B6" s="6">
        <f>COUNTIF('צי הרחפנים'!$C$3:$C$52,"AVATA")</f>
        <v/>
      </c>
      <c r="D6" s="7" t="inlineStr">
        <is>
          <t>AVATA</t>
        </is>
      </c>
      <c r="E6" s="8">
        <f>COUNTIFS('צי הרחפנים'!$C$3:$C$52,"AVATA",'צי הרחפנים'!$E$3:$E$52,"במחסן")</f>
        <v/>
      </c>
      <c r="F6" s="8">
        <f>COUNTIFS('צי הרחפנים'!$C$3:$C$52,"AVATA",'צי הרחפנים'!$E$3:$E$52,"הושאל")</f>
        <v/>
      </c>
      <c r="G6" s="8">
        <f>COUNTIFS('צי הרחפנים'!$C$3:$C$52,"AVATA",'צי הרחפנים'!$E$3:$E$52,"בתיקון")</f>
        <v/>
      </c>
      <c r="H6" s="8">
        <f>COUNTIFS('צי הרחפנים'!$C$3:$C$52,"AVATA",'צי הרחפנים'!$E$3:$E$52,"מושבת")</f>
        <v/>
      </c>
    </row>
    <row r="7">
      <c r="D7" s="7" t="inlineStr">
        <is>
          <t>סה"כ</t>
        </is>
      </c>
      <c r="E7" s="7">
        <f>SUM(E5:E6)</f>
        <v/>
      </c>
      <c r="F7" s="7">
        <f>SUM(F5:F6)</f>
        <v/>
      </c>
      <c r="G7" s="7">
        <f>SUM(G5:G6)</f>
        <v/>
      </c>
      <c r="H7" s="7">
        <f>SUM(H5:H6)</f>
        <v/>
      </c>
    </row>
    <row r="8">
      <c r="A8" s="2" t="inlineStr">
        <is>
          <t>לפי סטטוס</t>
        </is>
      </c>
    </row>
    <row r="9">
      <c r="A9" s="9" t="inlineStr">
        <is>
          <t>במחסן</t>
        </is>
      </c>
      <c r="B9" s="6">
        <f>COUNTIF('צי הרחפנים'!$E$3:$E$52,"במחסן")</f>
        <v/>
      </c>
    </row>
    <row r="10">
      <c r="A10" s="10" t="inlineStr">
        <is>
          <t>הושאל</t>
        </is>
      </c>
      <c r="B10" s="6">
        <f>COUNTIF('צי הרחפנים'!$E$3:$E$52,"הושאל")</f>
        <v/>
      </c>
    </row>
    <row r="11">
      <c r="A11" s="11" t="inlineStr">
        <is>
          <t>בתיקון</t>
        </is>
      </c>
      <c r="B11" s="6">
        <f>COUNTIF('צי הרחפנים'!$E$3:$E$52,"בתיקון")</f>
        <v/>
      </c>
    </row>
    <row r="12">
      <c r="A12" s="12" t="inlineStr">
        <is>
          <t>מושבת</t>
        </is>
      </c>
      <c r="B12" s="6">
        <f>COUNTIF('צי הרחפנים'!$E$3:$E$52,"מושבת")</f>
        <v/>
      </c>
    </row>
    <row r="14">
      <c r="A14" s="2" t="inlineStr">
        <is>
          <t>התראות</t>
        </is>
      </c>
    </row>
    <row r="15">
      <c r="A15" s="3" t="inlineStr">
        <is>
          <t>רחפנים תקולים</t>
        </is>
      </c>
      <c r="B15" s="6">
        <f>COUNTIF('צי הרחפנים'!$I$3:$I$52,"תקול")</f>
        <v/>
      </c>
    </row>
    <row r="16">
      <c r="A16" s="3" t="inlineStr">
        <is>
          <t>השאלות באיחור</t>
        </is>
      </c>
      <c r="B16" s="6">
        <f>SUMPRODUCT(('צי הרחפנים'!$E$3:$E$52="הושאל")*('צי הרחפנים'!$H$3:$H$52&lt;&gt;"")*('צי הרחפנים'!$H$3:$H$52&lt;TODAY()))</f>
        <v/>
      </c>
    </row>
    <row r="18">
      <c r="D18" s="13" t="inlineStr">
        <is>
          <t>עודכן:</t>
        </is>
      </c>
      <c r="E18" s="14">
        <f>TODAY()</f>
        <v/>
      </c>
    </row>
  </sheetData>
  <mergeCells count="1">
    <mergeCell ref="A1:F1"/>
  </mergeCells>
  <conditionalFormatting sqref="B15">
    <cfRule type="cellIs" priority="1" operator="greaterThan" dxfId="0">
      <formula>0</formula>
    </cfRule>
  </conditionalFormatting>
  <conditionalFormatting sqref="B16">
    <cfRule type="cellIs" priority="2" operator="greater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9" customWidth="1" min="3" max="3"/>
    <col width="11" customWidth="1" min="4" max="4"/>
    <col width="11" customWidth="1" min="5" max="5"/>
    <col width="16" customWidth="1" min="6" max="6"/>
    <col width="14" customWidth="1" min="7" max="7"/>
    <col width="14" customWidth="1" min="8" max="8"/>
    <col width="9" customWidth="1" min="9" max="9"/>
    <col width="13" customWidth="1" min="10" max="10"/>
    <col width="26" customWidth="1" min="11" max="11"/>
  </cols>
  <sheetData>
    <row r="1" ht="26" customHeight="1">
      <c r="A1" s="1" t="inlineStr">
        <is>
          <t>צי הרחפנים</t>
        </is>
      </c>
    </row>
    <row r="2">
      <c r="A2" s="5" t="inlineStr">
        <is>
          <t>מס׳</t>
        </is>
      </c>
      <c r="B2" s="5" t="inlineStr">
        <is>
          <t>מספר צ׳</t>
        </is>
      </c>
      <c r="C2" s="5" t="inlineStr">
        <is>
          <t>סוג</t>
        </is>
      </c>
      <c r="D2" s="5" t="inlineStr">
        <is>
          <t>מספר ערכה</t>
        </is>
      </c>
      <c r="E2" s="5" t="inlineStr">
        <is>
          <t>סטטוס</t>
        </is>
      </c>
      <c r="F2" s="5" t="inlineStr">
        <is>
          <t>מחזיק (חייל)</t>
        </is>
      </c>
      <c r="G2" s="5" t="inlineStr">
        <is>
          <t>תאריך השאלה</t>
        </is>
      </c>
      <c r="H2" s="5" t="inlineStr">
        <is>
          <t>תאריך החזרה יעד</t>
        </is>
      </c>
      <c r="I2" s="5" t="inlineStr">
        <is>
          <t>מצב</t>
        </is>
      </c>
      <c r="J2" s="5" t="inlineStr">
        <is>
          <t>פריטי צ׳ נדרשים</t>
        </is>
      </c>
      <c r="K2" s="5" t="inlineStr">
        <is>
          <t>הערות</t>
        </is>
      </c>
    </row>
    <row r="3">
      <c r="A3" s="8" t="n">
        <v>1</v>
      </c>
      <c r="B3" s="15" t="inlineStr">
        <is>
          <t>EVO-01</t>
        </is>
      </c>
      <c r="C3" s="8" t="inlineStr">
        <is>
          <t>EVO</t>
        </is>
      </c>
      <c r="D3" s="8" t="inlineStr">
        <is>
          <t>1136</t>
        </is>
      </c>
      <c r="E3" s="8" t="inlineStr">
        <is>
          <t>הושאל</t>
        </is>
      </c>
      <c r="F3" s="8" t="inlineStr">
        <is>
          <t>דוד כהן</t>
        </is>
      </c>
      <c r="G3" s="16" t="n">
        <v>46162</v>
      </c>
      <c r="H3" s="16" t="n">
        <v>46193</v>
      </c>
      <c r="I3" s="8" t="inlineStr">
        <is>
          <t>תקין</t>
        </is>
      </c>
      <c r="J3" s="8">
        <f>IFERROR(VLOOKUP(C3,מקרא!$A$13:$C$14,3,FALSE),"")</f>
        <v/>
      </c>
      <c r="K3" s="8" t="inlineStr"/>
    </row>
    <row r="4">
      <c r="A4" s="8" t="n">
        <v>2</v>
      </c>
      <c r="B4" s="15" t="inlineStr">
        <is>
          <t>EVO-02</t>
        </is>
      </c>
      <c r="C4" s="8" t="inlineStr">
        <is>
          <t>EVO</t>
        </is>
      </c>
      <c r="D4" s="8" t="inlineStr">
        <is>
          <t>1158</t>
        </is>
      </c>
      <c r="E4" s="8" t="inlineStr">
        <is>
          <t>במחסן</t>
        </is>
      </c>
      <c r="F4" s="8" t="inlineStr"/>
      <c r="G4" s="16" t="inlineStr"/>
      <c r="H4" s="16" t="inlineStr"/>
      <c r="I4" s="8" t="inlineStr">
        <is>
          <t>תקין</t>
        </is>
      </c>
      <c r="J4" s="8">
        <f>IFERROR(VLOOKUP(C4,מקרא!$A$13:$C$14,3,FALSE),"")</f>
        <v/>
      </c>
      <c r="K4" s="8" t="inlineStr"/>
    </row>
    <row r="5">
      <c r="A5" s="8" t="n">
        <v>3</v>
      </c>
      <c r="B5" s="15" t="inlineStr">
        <is>
          <t>EVO-03</t>
        </is>
      </c>
      <c r="C5" s="8" t="inlineStr">
        <is>
          <t>EVO</t>
        </is>
      </c>
      <c r="D5" s="8" t="inlineStr">
        <is>
          <t>1136</t>
        </is>
      </c>
      <c r="E5" s="8" t="inlineStr">
        <is>
          <t>בתיקון</t>
        </is>
      </c>
      <c r="F5" s="8" t="inlineStr"/>
      <c r="G5" s="16" t="inlineStr"/>
      <c r="H5" s="16" t="inlineStr"/>
      <c r="I5" s="8" t="inlineStr">
        <is>
          <t>תקול</t>
        </is>
      </c>
      <c r="J5" s="8">
        <f>IFERROR(VLOOKUP(C5,מקרא!$A$13:$C$14,3,FALSE),"")</f>
        <v/>
      </c>
      <c r="K5" s="8" t="inlineStr">
        <is>
          <t>גימבל לא מתכייל</t>
        </is>
      </c>
    </row>
    <row r="6">
      <c r="A6" s="8" t="n">
        <v>4</v>
      </c>
      <c r="B6" s="15" t="inlineStr">
        <is>
          <t>EVO-04</t>
        </is>
      </c>
      <c r="C6" s="8" t="inlineStr">
        <is>
          <t>EVO</t>
        </is>
      </c>
      <c r="D6" s="8" t="inlineStr">
        <is>
          <t>1158</t>
        </is>
      </c>
      <c r="E6" s="8" t="inlineStr">
        <is>
          <t>מושבת</t>
        </is>
      </c>
      <c r="F6" s="8" t="inlineStr"/>
      <c r="G6" s="16" t="inlineStr"/>
      <c r="H6" s="16" t="inlineStr"/>
      <c r="I6" s="8" t="inlineStr">
        <is>
          <t>תקול</t>
        </is>
      </c>
      <c r="J6" s="8">
        <f>IFERROR(VLOOKUP(C6,מקרא!$A$13:$C$14,3,FALSE),"")</f>
        <v/>
      </c>
      <c r="K6" s="8" t="inlineStr">
        <is>
          <t>ממתין לחלקים</t>
        </is>
      </c>
    </row>
    <row r="7">
      <c r="A7" s="8" t="n">
        <v>5</v>
      </c>
      <c r="B7" s="15" t="inlineStr">
        <is>
          <t>AVATA-01</t>
        </is>
      </c>
      <c r="C7" s="8" t="inlineStr">
        <is>
          <t>AVATA</t>
        </is>
      </c>
      <c r="D7" s="8" t="inlineStr">
        <is>
          <t>1008</t>
        </is>
      </c>
      <c r="E7" s="8" t="inlineStr">
        <is>
          <t>הושאל</t>
        </is>
      </c>
      <c r="F7" s="8" t="inlineStr">
        <is>
          <t>מאור לוי</t>
        </is>
      </c>
      <c r="G7" s="16" t="n">
        <v>46113</v>
      </c>
      <c r="H7" s="16" t="n">
        <v>46143</v>
      </c>
      <c r="I7" s="8" t="inlineStr">
        <is>
          <t>תקין</t>
        </is>
      </c>
      <c r="J7" s="8">
        <f>IFERROR(VLOOKUP(C7,מקרא!$A$13:$C$14,3,FALSE),"")</f>
        <v/>
      </c>
      <c r="K7" s="8" t="inlineStr"/>
    </row>
    <row r="8">
      <c r="A8" s="8" t="n">
        <v>6</v>
      </c>
      <c r="B8" s="15" t="inlineStr">
        <is>
          <t>AVATA-02</t>
        </is>
      </c>
      <c r="C8" s="8" t="inlineStr">
        <is>
          <t>AVATA</t>
        </is>
      </c>
      <c r="D8" s="8" t="inlineStr">
        <is>
          <t>1008</t>
        </is>
      </c>
      <c r="E8" s="8" t="inlineStr">
        <is>
          <t>במחסן</t>
        </is>
      </c>
      <c r="F8" s="8" t="inlineStr"/>
      <c r="G8" s="16" t="inlineStr"/>
      <c r="H8" s="16" t="inlineStr"/>
      <c r="I8" s="8" t="inlineStr">
        <is>
          <t>תקין</t>
        </is>
      </c>
      <c r="J8" s="8">
        <f>IFERROR(VLOOKUP(C8,מקרא!$A$13:$C$14,3,FALSE),"")</f>
        <v/>
      </c>
      <c r="K8" s="8" t="inlineStr"/>
    </row>
    <row r="9">
      <c r="A9" s="8" t="n">
        <v>7</v>
      </c>
      <c r="B9" s="15" t="inlineStr">
        <is>
          <t>AVATA-03</t>
        </is>
      </c>
      <c r="C9" s="8" t="inlineStr">
        <is>
          <t>AVATA</t>
        </is>
      </c>
      <c r="D9" s="8" t="inlineStr">
        <is>
          <t>1008</t>
        </is>
      </c>
      <c r="E9" s="8" t="inlineStr">
        <is>
          <t>הושאל</t>
        </is>
      </c>
      <c r="F9" s="8" t="inlineStr">
        <is>
          <t>יוסי בר</t>
        </is>
      </c>
      <c r="G9" s="16" t="n">
        <v>46167</v>
      </c>
      <c r="H9" s="16" t="n">
        <v>46198</v>
      </c>
      <c r="I9" s="8" t="inlineStr">
        <is>
          <t>תקין</t>
        </is>
      </c>
      <c r="J9" s="8">
        <f>IFERROR(VLOOKUP(C9,מקרא!$A$13:$C$14,3,FALSE),"")</f>
        <v/>
      </c>
      <c r="K9" s="8" t="inlineStr"/>
    </row>
    <row r="10">
      <c r="A10" s="8" t="n">
        <v>8</v>
      </c>
      <c r="B10" s="15" t="inlineStr">
        <is>
          <t>AVATA-04</t>
        </is>
      </c>
      <c r="C10" s="8" t="inlineStr">
        <is>
          <t>AVATA</t>
        </is>
      </c>
      <c r="D10" s="8" t="inlineStr">
        <is>
          <t>1008</t>
        </is>
      </c>
      <c r="E10" s="8" t="inlineStr">
        <is>
          <t>במחסן</t>
        </is>
      </c>
      <c r="F10" s="8" t="inlineStr"/>
      <c r="G10" s="16" t="inlineStr"/>
      <c r="H10" s="16" t="inlineStr"/>
      <c r="I10" s="8" t="inlineStr">
        <is>
          <t>תקין</t>
        </is>
      </c>
      <c r="J10" s="8">
        <f>IFERROR(VLOOKUP(C10,מקרא!$A$13:$C$14,3,FALSE),"")</f>
        <v/>
      </c>
      <c r="K10" s="8" t="inlineStr"/>
    </row>
    <row r="11">
      <c r="A11" s="17" t="n"/>
      <c r="B11" s="17" t="n"/>
      <c r="C11" s="17" t="n"/>
      <c r="D11" s="17" t="n"/>
      <c r="E11" s="17" t="n"/>
      <c r="F11" s="17" t="n"/>
      <c r="G11" s="18" t="n"/>
      <c r="H11" s="18" t="n"/>
      <c r="I11" s="17" t="n"/>
      <c r="J11" s="8">
        <f>IFERROR(VLOOKUP(C11,מקרא!$A$13:$C$14,3,FALSE),"")</f>
        <v/>
      </c>
      <c r="K11" s="17" t="n"/>
    </row>
    <row r="12">
      <c r="A12" s="17" t="n"/>
      <c r="B12" s="17" t="n"/>
      <c r="C12" s="17" t="n"/>
      <c r="D12" s="17" t="n"/>
      <c r="E12" s="17" t="n"/>
      <c r="F12" s="17" t="n"/>
      <c r="G12" s="18" t="n"/>
      <c r="H12" s="18" t="n"/>
      <c r="I12" s="17" t="n"/>
      <c r="J12" s="8">
        <f>IFERROR(VLOOKUP(C12,מקרא!$A$13:$C$14,3,FALSE),"")</f>
        <v/>
      </c>
      <c r="K12" s="17" t="n"/>
    </row>
    <row r="13">
      <c r="A13" s="17" t="n"/>
      <c r="B13" s="17" t="n"/>
      <c r="C13" s="17" t="n"/>
      <c r="D13" s="17" t="n"/>
      <c r="E13" s="17" t="n"/>
      <c r="F13" s="17" t="n"/>
      <c r="G13" s="18" t="n"/>
      <c r="H13" s="18" t="n"/>
      <c r="I13" s="17" t="n"/>
      <c r="J13" s="8">
        <f>IFERROR(VLOOKUP(C13,מקרא!$A$13:$C$14,3,FALSE),"")</f>
        <v/>
      </c>
      <c r="K13" s="17" t="n"/>
    </row>
    <row r="14">
      <c r="A14" s="17" t="n"/>
      <c r="B14" s="17" t="n"/>
      <c r="C14" s="17" t="n"/>
      <c r="D14" s="17" t="n"/>
      <c r="E14" s="17" t="n"/>
      <c r="F14" s="17" t="n"/>
      <c r="G14" s="18" t="n"/>
      <c r="H14" s="18" t="n"/>
      <c r="I14" s="17" t="n"/>
      <c r="J14" s="8">
        <f>IFERROR(VLOOKUP(C14,מקרא!$A$13:$C$14,3,FALSE),"")</f>
        <v/>
      </c>
      <c r="K14" s="17" t="n"/>
    </row>
    <row r="15">
      <c r="A15" s="17" t="n"/>
      <c r="B15" s="17" t="n"/>
      <c r="C15" s="17" t="n"/>
      <c r="D15" s="17" t="n"/>
      <c r="E15" s="17" t="n"/>
      <c r="F15" s="17" t="n"/>
      <c r="G15" s="18" t="n"/>
      <c r="H15" s="18" t="n"/>
      <c r="I15" s="17" t="n"/>
      <c r="J15" s="8">
        <f>IFERROR(VLOOKUP(C15,מקרא!$A$13:$C$14,3,FALSE),"")</f>
        <v/>
      </c>
      <c r="K15" s="17" t="n"/>
    </row>
    <row r="16">
      <c r="A16" s="17" t="n"/>
      <c r="B16" s="17" t="n"/>
      <c r="C16" s="17" t="n"/>
      <c r="D16" s="17" t="n"/>
      <c r="E16" s="17" t="n"/>
      <c r="F16" s="17" t="n"/>
      <c r="G16" s="18" t="n"/>
      <c r="H16" s="18" t="n"/>
      <c r="I16" s="17" t="n"/>
      <c r="J16" s="8">
        <f>IFERROR(VLOOKUP(C16,מקרא!$A$13:$C$14,3,FALSE),"")</f>
        <v/>
      </c>
      <c r="K16" s="17" t="n"/>
    </row>
    <row r="17">
      <c r="A17" s="17" t="n"/>
      <c r="B17" s="17" t="n"/>
      <c r="C17" s="17" t="n"/>
      <c r="D17" s="17" t="n"/>
      <c r="E17" s="17" t="n"/>
      <c r="F17" s="17" t="n"/>
      <c r="G17" s="18" t="n"/>
      <c r="H17" s="18" t="n"/>
      <c r="I17" s="17" t="n"/>
      <c r="J17" s="8">
        <f>IFERROR(VLOOKUP(C17,מקרא!$A$13:$C$14,3,FALSE),"")</f>
        <v/>
      </c>
      <c r="K17" s="17" t="n"/>
    </row>
    <row r="18">
      <c r="A18" s="17" t="n"/>
      <c r="B18" s="17" t="n"/>
      <c r="C18" s="17" t="n"/>
      <c r="D18" s="17" t="n"/>
      <c r="E18" s="17" t="n"/>
      <c r="F18" s="17" t="n"/>
      <c r="G18" s="18" t="n"/>
      <c r="H18" s="18" t="n"/>
      <c r="I18" s="17" t="n"/>
      <c r="J18" s="8">
        <f>IFERROR(VLOOKUP(C18,מקרא!$A$13:$C$14,3,FALSE),"")</f>
        <v/>
      </c>
      <c r="K18" s="17" t="n"/>
    </row>
    <row r="19">
      <c r="A19" s="17" t="n"/>
      <c r="B19" s="17" t="n"/>
      <c r="C19" s="17" t="n"/>
      <c r="D19" s="17" t="n"/>
      <c r="E19" s="17" t="n"/>
      <c r="F19" s="17" t="n"/>
      <c r="G19" s="18" t="n"/>
      <c r="H19" s="18" t="n"/>
      <c r="I19" s="17" t="n"/>
      <c r="J19" s="8">
        <f>IFERROR(VLOOKUP(C19,מקרא!$A$13:$C$14,3,FALSE),"")</f>
        <v/>
      </c>
      <c r="K19" s="17" t="n"/>
    </row>
    <row r="20">
      <c r="A20" s="17" t="n"/>
      <c r="B20" s="17" t="n"/>
      <c r="C20" s="17" t="n"/>
      <c r="D20" s="17" t="n"/>
      <c r="E20" s="17" t="n"/>
      <c r="F20" s="17" t="n"/>
      <c r="G20" s="18" t="n"/>
      <c r="H20" s="18" t="n"/>
      <c r="I20" s="17" t="n"/>
      <c r="J20" s="8">
        <f>IFERROR(VLOOKUP(C20,מקרא!$A$13:$C$14,3,FALSE),"")</f>
        <v/>
      </c>
      <c r="K20" s="17" t="n"/>
    </row>
    <row r="21">
      <c r="A21" s="17" t="n"/>
      <c r="B21" s="17" t="n"/>
      <c r="C21" s="17" t="n"/>
      <c r="D21" s="17" t="n"/>
      <c r="E21" s="17" t="n"/>
      <c r="F21" s="17" t="n"/>
      <c r="G21" s="18" t="n"/>
      <c r="H21" s="18" t="n"/>
      <c r="I21" s="17" t="n"/>
      <c r="J21" s="8">
        <f>IFERROR(VLOOKUP(C21,מקרא!$A$13:$C$14,3,FALSE),"")</f>
        <v/>
      </c>
      <c r="K21" s="17" t="n"/>
    </row>
    <row r="22">
      <c r="A22" s="17" t="n"/>
      <c r="B22" s="17" t="n"/>
      <c r="C22" s="17" t="n"/>
      <c r="D22" s="17" t="n"/>
      <c r="E22" s="17" t="n"/>
      <c r="F22" s="17" t="n"/>
      <c r="G22" s="18" t="n"/>
      <c r="H22" s="18" t="n"/>
      <c r="I22" s="17" t="n"/>
      <c r="J22" s="8">
        <f>IFERROR(VLOOKUP(C22,מקרא!$A$13:$C$14,3,FALSE),"")</f>
        <v/>
      </c>
      <c r="K22" s="17" t="n"/>
    </row>
    <row r="23">
      <c r="A23" s="17" t="n"/>
      <c r="B23" s="17" t="n"/>
      <c r="C23" s="17" t="n"/>
      <c r="D23" s="17" t="n"/>
      <c r="E23" s="17" t="n"/>
      <c r="F23" s="17" t="n"/>
      <c r="G23" s="18" t="n"/>
      <c r="H23" s="18" t="n"/>
      <c r="I23" s="17" t="n"/>
      <c r="J23" s="8">
        <f>IFERROR(VLOOKUP(C23,מקרא!$A$13:$C$14,3,FALSE),"")</f>
        <v/>
      </c>
      <c r="K23" s="17" t="n"/>
    </row>
    <row r="24">
      <c r="A24" s="17" t="n"/>
      <c r="B24" s="17" t="n"/>
      <c r="C24" s="17" t="n"/>
      <c r="D24" s="17" t="n"/>
      <c r="E24" s="17" t="n"/>
      <c r="F24" s="17" t="n"/>
      <c r="G24" s="18" t="n"/>
      <c r="H24" s="18" t="n"/>
      <c r="I24" s="17" t="n"/>
      <c r="J24" s="8">
        <f>IFERROR(VLOOKUP(C24,מקרא!$A$13:$C$14,3,FALSE),"")</f>
        <v/>
      </c>
      <c r="K24" s="17" t="n"/>
    </row>
    <row r="25">
      <c r="A25" s="17" t="n"/>
      <c r="B25" s="17" t="n"/>
      <c r="C25" s="17" t="n"/>
      <c r="D25" s="17" t="n"/>
      <c r="E25" s="17" t="n"/>
      <c r="F25" s="17" t="n"/>
      <c r="G25" s="18" t="n"/>
      <c r="H25" s="18" t="n"/>
      <c r="I25" s="17" t="n"/>
      <c r="J25" s="8">
        <f>IFERROR(VLOOKUP(C25,מקרא!$A$13:$C$14,3,FALSE),"")</f>
        <v/>
      </c>
      <c r="K25" s="17" t="n"/>
    </row>
    <row r="26">
      <c r="A26" s="17" t="n"/>
      <c r="B26" s="17" t="n"/>
      <c r="C26" s="17" t="n"/>
      <c r="D26" s="17" t="n"/>
      <c r="E26" s="17" t="n"/>
      <c r="F26" s="17" t="n"/>
      <c r="G26" s="18" t="n"/>
      <c r="H26" s="18" t="n"/>
      <c r="I26" s="17" t="n"/>
      <c r="J26" s="8">
        <f>IFERROR(VLOOKUP(C26,מקרא!$A$13:$C$14,3,FALSE),"")</f>
        <v/>
      </c>
      <c r="K26" s="17" t="n"/>
    </row>
    <row r="27">
      <c r="A27" s="17" t="n"/>
      <c r="B27" s="17" t="n"/>
      <c r="C27" s="17" t="n"/>
      <c r="D27" s="17" t="n"/>
      <c r="E27" s="17" t="n"/>
      <c r="F27" s="17" t="n"/>
      <c r="G27" s="18" t="n"/>
      <c r="H27" s="18" t="n"/>
      <c r="I27" s="17" t="n"/>
      <c r="J27" s="8">
        <f>IFERROR(VLOOKUP(C27,מקרא!$A$13:$C$14,3,FALSE),"")</f>
        <v/>
      </c>
      <c r="K27" s="17" t="n"/>
    </row>
    <row r="28">
      <c r="A28" s="17" t="n"/>
      <c r="B28" s="17" t="n"/>
      <c r="C28" s="17" t="n"/>
      <c r="D28" s="17" t="n"/>
      <c r="E28" s="17" t="n"/>
      <c r="F28" s="17" t="n"/>
      <c r="G28" s="18" t="n"/>
      <c r="H28" s="18" t="n"/>
      <c r="I28" s="17" t="n"/>
      <c r="J28" s="8">
        <f>IFERROR(VLOOKUP(C28,מקרא!$A$13:$C$14,3,FALSE),"")</f>
        <v/>
      </c>
      <c r="K28" s="17" t="n"/>
    </row>
    <row r="29">
      <c r="A29" s="17" t="n"/>
      <c r="B29" s="17" t="n"/>
      <c r="C29" s="17" t="n"/>
      <c r="D29" s="17" t="n"/>
      <c r="E29" s="17" t="n"/>
      <c r="F29" s="17" t="n"/>
      <c r="G29" s="18" t="n"/>
      <c r="H29" s="18" t="n"/>
      <c r="I29" s="17" t="n"/>
      <c r="J29" s="8">
        <f>IFERROR(VLOOKUP(C29,מקרא!$A$13:$C$14,3,FALSE),"")</f>
        <v/>
      </c>
      <c r="K29" s="17" t="n"/>
    </row>
    <row r="30">
      <c r="A30" s="17" t="n"/>
      <c r="B30" s="17" t="n"/>
      <c r="C30" s="17" t="n"/>
      <c r="D30" s="17" t="n"/>
      <c r="E30" s="17" t="n"/>
      <c r="F30" s="17" t="n"/>
      <c r="G30" s="18" t="n"/>
      <c r="H30" s="18" t="n"/>
      <c r="I30" s="17" t="n"/>
      <c r="J30" s="8">
        <f>IFERROR(VLOOKUP(C30,מקרא!$A$13:$C$14,3,FALSE),"")</f>
        <v/>
      </c>
      <c r="K30" s="17" t="n"/>
    </row>
    <row r="31">
      <c r="A31" s="17" t="n"/>
      <c r="B31" s="17" t="n"/>
      <c r="C31" s="17" t="n"/>
      <c r="D31" s="17" t="n"/>
      <c r="E31" s="17" t="n"/>
      <c r="F31" s="17" t="n"/>
      <c r="G31" s="18" t="n"/>
      <c r="H31" s="18" t="n"/>
      <c r="I31" s="17" t="n"/>
      <c r="J31" s="8">
        <f>IFERROR(VLOOKUP(C31,מקרא!$A$13:$C$14,3,FALSE),"")</f>
        <v/>
      </c>
      <c r="K31" s="17" t="n"/>
    </row>
    <row r="32">
      <c r="A32" s="17" t="n"/>
      <c r="B32" s="17" t="n"/>
      <c r="C32" s="17" t="n"/>
      <c r="D32" s="17" t="n"/>
      <c r="E32" s="17" t="n"/>
      <c r="F32" s="17" t="n"/>
      <c r="G32" s="18" t="n"/>
      <c r="H32" s="18" t="n"/>
      <c r="I32" s="17" t="n"/>
      <c r="J32" s="8">
        <f>IFERROR(VLOOKUP(C32,מקרא!$A$13:$C$14,3,FALSE),"")</f>
        <v/>
      </c>
      <c r="K32" s="17" t="n"/>
    </row>
    <row r="33">
      <c r="A33" s="17" t="n"/>
      <c r="B33" s="17" t="n"/>
      <c r="C33" s="17" t="n"/>
      <c r="D33" s="17" t="n"/>
      <c r="E33" s="17" t="n"/>
      <c r="F33" s="17" t="n"/>
      <c r="G33" s="18" t="n"/>
      <c r="H33" s="18" t="n"/>
      <c r="I33" s="17" t="n"/>
      <c r="J33" s="8">
        <f>IFERROR(VLOOKUP(C33,מקרא!$A$13:$C$14,3,FALSE),"")</f>
        <v/>
      </c>
      <c r="K33" s="17" t="n"/>
    </row>
    <row r="34">
      <c r="A34" s="17" t="n"/>
      <c r="B34" s="17" t="n"/>
      <c r="C34" s="17" t="n"/>
      <c r="D34" s="17" t="n"/>
      <c r="E34" s="17" t="n"/>
      <c r="F34" s="17" t="n"/>
      <c r="G34" s="18" t="n"/>
      <c r="H34" s="18" t="n"/>
      <c r="I34" s="17" t="n"/>
      <c r="J34" s="8">
        <f>IFERROR(VLOOKUP(C34,מקרא!$A$13:$C$14,3,FALSE),"")</f>
        <v/>
      </c>
      <c r="K34" s="17" t="n"/>
    </row>
    <row r="35">
      <c r="A35" s="17" t="n"/>
      <c r="B35" s="17" t="n"/>
      <c r="C35" s="17" t="n"/>
      <c r="D35" s="17" t="n"/>
      <c r="E35" s="17" t="n"/>
      <c r="F35" s="17" t="n"/>
      <c r="G35" s="18" t="n"/>
      <c r="H35" s="18" t="n"/>
      <c r="I35" s="17" t="n"/>
      <c r="J35" s="8">
        <f>IFERROR(VLOOKUP(C35,מקרא!$A$13:$C$14,3,FALSE),"")</f>
        <v/>
      </c>
      <c r="K35" s="17" t="n"/>
    </row>
    <row r="36">
      <c r="A36" s="17" t="n"/>
      <c r="B36" s="17" t="n"/>
      <c r="C36" s="17" t="n"/>
      <c r="D36" s="17" t="n"/>
      <c r="E36" s="17" t="n"/>
      <c r="F36" s="17" t="n"/>
      <c r="G36" s="18" t="n"/>
      <c r="H36" s="18" t="n"/>
      <c r="I36" s="17" t="n"/>
      <c r="J36" s="8">
        <f>IFERROR(VLOOKUP(C36,מקרא!$A$13:$C$14,3,FALSE),"")</f>
        <v/>
      </c>
      <c r="K36" s="17" t="n"/>
    </row>
    <row r="37">
      <c r="A37" s="17" t="n"/>
      <c r="B37" s="17" t="n"/>
      <c r="C37" s="17" t="n"/>
      <c r="D37" s="17" t="n"/>
      <c r="E37" s="17" t="n"/>
      <c r="F37" s="17" t="n"/>
      <c r="G37" s="18" t="n"/>
      <c r="H37" s="18" t="n"/>
      <c r="I37" s="17" t="n"/>
      <c r="J37" s="8">
        <f>IFERROR(VLOOKUP(C37,מקרא!$A$13:$C$14,3,FALSE),"")</f>
        <v/>
      </c>
      <c r="K37" s="17" t="n"/>
    </row>
    <row r="38">
      <c r="A38" s="17" t="n"/>
      <c r="B38" s="17" t="n"/>
      <c r="C38" s="17" t="n"/>
      <c r="D38" s="17" t="n"/>
      <c r="E38" s="17" t="n"/>
      <c r="F38" s="17" t="n"/>
      <c r="G38" s="18" t="n"/>
      <c r="H38" s="18" t="n"/>
      <c r="I38" s="17" t="n"/>
      <c r="J38" s="8">
        <f>IFERROR(VLOOKUP(C38,מקרא!$A$13:$C$14,3,FALSE),"")</f>
        <v/>
      </c>
      <c r="K38" s="17" t="n"/>
    </row>
    <row r="39">
      <c r="A39" s="17" t="n"/>
      <c r="B39" s="17" t="n"/>
      <c r="C39" s="17" t="n"/>
      <c r="D39" s="17" t="n"/>
      <c r="E39" s="17" t="n"/>
      <c r="F39" s="17" t="n"/>
      <c r="G39" s="18" t="n"/>
      <c r="H39" s="18" t="n"/>
      <c r="I39" s="17" t="n"/>
      <c r="J39" s="8">
        <f>IFERROR(VLOOKUP(C39,מקרא!$A$13:$C$14,3,FALSE),"")</f>
        <v/>
      </c>
      <c r="K39" s="17" t="n"/>
    </row>
    <row r="40">
      <c r="A40" s="17" t="n"/>
      <c r="B40" s="17" t="n"/>
      <c r="C40" s="17" t="n"/>
      <c r="D40" s="17" t="n"/>
      <c r="E40" s="17" t="n"/>
      <c r="F40" s="17" t="n"/>
      <c r="G40" s="18" t="n"/>
      <c r="H40" s="18" t="n"/>
      <c r="I40" s="17" t="n"/>
      <c r="J40" s="8">
        <f>IFERROR(VLOOKUP(C40,מקרא!$A$13:$C$14,3,FALSE),"")</f>
        <v/>
      </c>
      <c r="K40" s="17" t="n"/>
    </row>
    <row r="41">
      <c r="A41" s="17" t="n"/>
      <c r="B41" s="17" t="n"/>
      <c r="C41" s="17" t="n"/>
      <c r="D41" s="17" t="n"/>
      <c r="E41" s="17" t="n"/>
      <c r="F41" s="17" t="n"/>
      <c r="G41" s="18" t="n"/>
      <c r="H41" s="18" t="n"/>
      <c r="I41" s="17" t="n"/>
      <c r="J41" s="8">
        <f>IFERROR(VLOOKUP(C41,מקרא!$A$13:$C$14,3,FALSE),"")</f>
        <v/>
      </c>
      <c r="K41" s="17" t="n"/>
    </row>
    <row r="42">
      <c r="A42" s="17" t="n"/>
      <c r="B42" s="17" t="n"/>
      <c r="C42" s="17" t="n"/>
      <c r="D42" s="17" t="n"/>
      <c r="E42" s="17" t="n"/>
      <c r="F42" s="17" t="n"/>
      <c r="G42" s="18" t="n"/>
      <c r="H42" s="18" t="n"/>
      <c r="I42" s="17" t="n"/>
      <c r="J42" s="8">
        <f>IFERROR(VLOOKUP(C42,מקרא!$A$13:$C$14,3,FALSE),"")</f>
        <v/>
      </c>
      <c r="K42" s="17" t="n"/>
    </row>
    <row r="43">
      <c r="A43" s="17" t="n"/>
      <c r="B43" s="17" t="n"/>
      <c r="C43" s="17" t="n"/>
      <c r="D43" s="17" t="n"/>
      <c r="E43" s="17" t="n"/>
      <c r="F43" s="17" t="n"/>
      <c r="G43" s="18" t="n"/>
      <c r="H43" s="18" t="n"/>
      <c r="I43" s="17" t="n"/>
      <c r="J43" s="8">
        <f>IFERROR(VLOOKUP(C43,מקרא!$A$13:$C$14,3,FALSE),"")</f>
        <v/>
      </c>
      <c r="K43" s="17" t="n"/>
    </row>
    <row r="44">
      <c r="A44" s="17" t="n"/>
      <c r="B44" s="17" t="n"/>
      <c r="C44" s="17" t="n"/>
      <c r="D44" s="17" t="n"/>
      <c r="E44" s="17" t="n"/>
      <c r="F44" s="17" t="n"/>
      <c r="G44" s="18" t="n"/>
      <c r="H44" s="18" t="n"/>
      <c r="I44" s="17" t="n"/>
      <c r="J44" s="8">
        <f>IFERROR(VLOOKUP(C44,מקרא!$A$13:$C$14,3,FALSE),"")</f>
        <v/>
      </c>
      <c r="K44" s="17" t="n"/>
    </row>
    <row r="45">
      <c r="A45" s="17" t="n"/>
      <c r="B45" s="17" t="n"/>
      <c r="C45" s="17" t="n"/>
      <c r="D45" s="17" t="n"/>
      <c r="E45" s="17" t="n"/>
      <c r="F45" s="17" t="n"/>
      <c r="G45" s="18" t="n"/>
      <c r="H45" s="18" t="n"/>
      <c r="I45" s="17" t="n"/>
      <c r="J45" s="8">
        <f>IFERROR(VLOOKUP(C45,מקרא!$A$13:$C$14,3,FALSE),"")</f>
        <v/>
      </c>
      <c r="K45" s="17" t="n"/>
    </row>
    <row r="46">
      <c r="A46" s="17" t="n"/>
      <c r="B46" s="17" t="n"/>
      <c r="C46" s="17" t="n"/>
      <c r="D46" s="17" t="n"/>
      <c r="E46" s="17" t="n"/>
      <c r="F46" s="17" t="n"/>
      <c r="G46" s="18" t="n"/>
      <c r="H46" s="18" t="n"/>
      <c r="I46" s="17" t="n"/>
      <c r="J46" s="8">
        <f>IFERROR(VLOOKUP(C46,מקרא!$A$13:$C$14,3,FALSE),"")</f>
        <v/>
      </c>
      <c r="K46" s="17" t="n"/>
    </row>
    <row r="47">
      <c r="A47" s="17" t="n"/>
      <c r="B47" s="17" t="n"/>
      <c r="C47" s="17" t="n"/>
      <c r="D47" s="17" t="n"/>
      <c r="E47" s="17" t="n"/>
      <c r="F47" s="17" t="n"/>
      <c r="G47" s="18" t="n"/>
      <c r="H47" s="18" t="n"/>
      <c r="I47" s="17" t="n"/>
      <c r="J47" s="8">
        <f>IFERROR(VLOOKUP(C47,מקרא!$A$13:$C$14,3,FALSE),"")</f>
        <v/>
      </c>
      <c r="K47" s="17" t="n"/>
    </row>
    <row r="48">
      <c r="A48" s="17" t="n"/>
      <c r="B48" s="17" t="n"/>
      <c r="C48" s="17" t="n"/>
      <c r="D48" s="17" t="n"/>
      <c r="E48" s="17" t="n"/>
      <c r="F48" s="17" t="n"/>
      <c r="G48" s="18" t="n"/>
      <c r="H48" s="18" t="n"/>
      <c r="I48" s="17" t="n"/>
      <c r="J48" s="8">
        <f>IFERROR(VLOOKUP(C48,מקרא!$A$13:$C$14,3,FALSE),"")</f>
        <v/>
      </c>
      <c r="K48" s="17" t="n"/>
    </row>
    <row r="49">
      <c r="A49" s="17" t="n"/>
      <c r="B49" s="17" t="n"/>
      <c r="C49" s="17" t="n"/>
      <c r="D49" s="17" t="n"/>
      <c r="E49" s="17" t="n"/>
      <c r="F49" s="17" t="n"/>
      <c r="G49" s="18" t="n"/>
      <c r="H49" s="18" t="n"/>
      <c r="I49" s="17" t="n"/>
      <c r="J49" s="8">
        <f>IFERROR(VLOOKUP(C49,מקרא!$A$13:$C$14,3,FALSE),"")</f>
        <v/>
      </c>
      <c r="K49" s="17" t="n"/>
    </row>
    <row r="50">
      <c r="A50" s="17" t="n"/>
      <c r="B50" s="17" t="n"/>
      <c r="C50" s="17" t="n"/>
      <c r="D50" s="17" t="n"/>
      <c r="E50" s="17" t="n"/>
      <c r="F50" s="17" t="n"/>
      <c r="G50" s="18" t="n"/>
      <c r="H50" s="18" t="n"/>
      <c r="I50" s="17" t="n"/>
      <c r="J50" s="8">
        <f>IFERROR(VLOOKUP(C50,מקרא!$A$13:$C$14,3,FALSE),"")</f>
        <v/>
      </c>
      <c r="K50" s="17" t="n"/>
    </row>
    <row r="51">
      <c r="A51" s="17" t="n"/>
      <c r="B51" s="17" t="n"/>
      <c r="C51" s="17" t="n"/>
      <c r="D51" s="17" t="n"/>
      <c r="E51" s="17" t="n"/>
      <c r="F51" s="17" t="n"/>
      <c r="G51" s="18" t="n"/>
      <c r="H51" s="18" t="n"/>
      <c r="I51" s="17" t="n"/>
      <c r="J51" s="8">
        <f>IFERROR(VLOOKUP(C51,מקרא!$A$13:$C$14,3,FALSE),"")</f>
        <v/>
      </c>
      <c r="K51" s="17" t="n"/>
    </row>
    <row r="52">
      <c r="A52" s="17" t="n"/>
      <c r="B52" s="17" t="n"/>
      <c r="C52" s="17" t="n"/>
      <c r="D52" s="17" t="n"/>
      <c r="E52" s="17" t="n"/>
      <c r="F52" s="17" t="n"/>
      <c r="G52" s="18" t="n"/>
      <c r="H52" s="18" t="n"/>
      <c r="I52" s="17" t="n"/>
      <c r="J52" s="8">
        <f>IFERROR(VLOOKUP(C52,מקרא!$A$13:$C$14,3,FALSE),"")</f>
        <v/>
      </c>
      <c r="K52" s="17" t="n"/>
    </row>
  </sheetData>
  <mergeCells count="1">
    <mergeCell ref="A1:K1"/>
  </mergeCells>
  <conditionalFormatting sqref="E3:E52">
    <cfRule type="cellIs" priority="1" operator="equal" dxfId="1">
      <formula>"במחסן"</formula>
    </cfRule>
    <cfRule type="cellIs" priority="2" operator="equal" dxfId="2">
      <formula>"הושאל"</formula>
    </cfRule>
    <cfRule type="cellIs" priority="3" operator="equal" dxfId="3">
      <formula>"בתיקון"</formula>
    </cfRule>
    <cfRule type="cellIs" priority="4" operator="equal" dxfId="4">
      <formula>"מושבת"</formula>
    </cfRule>
  </conditionalFormatting>
  <conditionalFormatting sqref="I3:I52">
    <cfRule type="cellIs" priority="5" operator="equal" dxfId="0">
      <formula>"תקול"</formula>
    </cfRule>
    <cfRule type="cellIs" priority="6" operator="equal" dxfId="1">
      <formula>"תקין"</formula>
    </cfRule>
  </conditionalFormatting>
  <conditionalFormatting sqref="H3:H52">
    <cfRule type="expression" priority="7" dxfId="0">
      <formula>AND($E3="הושאל",$H3&lt;&gt;"",$H3&lt;TODAY())</formula>
    </cfRule>
  </conditionalFormatting>
  <dataValidations count="4">
    <dataValidation sqref="C3:C52" showDropDown="0" showInputMessage="0" showErrorMessage="0" allowBlank="1" type="list">
      <formula1>"EVO,AVATA"</formula1>
    </dataValidation>
    <dataValidation sqref="E3:E52" showDropDown="0" showInputMessage="0" showErrorMessage="0" allowBlank="1" type="list">
      <formula1>"במחסן,הושאל,בתיקון,מושבת"</formula1>
    </dataValidation>
    <dataValidation sqref="I3:I52" showDropDown="0" showInputMessage="0" showErrorMessage="0" allowBlank="1" type="list">
      <formula1>"תקין,תקול"</formula1>
    </dataValidation>
    <dataValidation sqref="F3:F52" showDropDown="0" showInputMessage="0" showErrorMessage="0" allowBlank="1" type="list">
      <formula1>=חיילים!$A$3:$A$62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12" customWidth="1" min="4" max="4"/>
    <col width="16" customWidth="1" min="5" max="5"/>
    <col width="16" customWidth="1" min="6" max="6"/>
    <col width="24" customWidth="1" min="7" max="7"/>
  </cols>
  <sheetData>
    <row r="1" ht="26" customHeight="1">
      <c r="A1" s="1" t="inlineStr">
        <is>
          <t>יומן השאלות והחזרות</t>
        </is>
      </c>
    </row>
    <row r="2">
      <c r="A2" s="5" t="inlineStr">
        <is>
          <t>תאריך</t>
        </is>
      </c>
      <c r="B2" s="5" t="inlineStr">
        <is>
          <t>מספר צ׳</t>
        </is>
      </c>
      <c r="C2" s="5" t="inlineStr">
        <is>
          <t>סוג</t>
        </is>
      </c>
      <c r="D2" s="5" t="inlineStr">
        <is>
          <t>פעולה</t>
        </is>
      </c>
      <c r="E2" s="5" t="inlineStr">
        <is>
          <t>חייל</t>
        </is>
      </c>
      <c r="F2" s="5" t="inlineStr">
        <is>
          <t>מנפק</t>
        </is>
      </c>
      <c r="G2" s="5" t="inlineStr">
        <is>
          <t>הערות</t>
        </is>
      </c>
    </row>
    <row r="3">
      <c r="A3" s="16" t="n">
        <v>46162</v>
      </c>
      <c r="B3" s="8" t="inlineStr">
        <is>
          <t>EVO-01</t>
        </is>
      </c>
      <c r="C3" s="8">
        <f>IFERROR(VLOOKUP(B3,'צי הרחפנים'!$B$3:$C$52,2,FALSE),"")</f>
        <v/>
      </c>
      <c r="D3" s="8" t="inlineStr">
        <is>
          <t>השאלה</t>
        </is>
      </c>
      <c r="E3" s="8" t="inlineStr">
        <is>
          <t>דוד כהן</t>
        </is>
      </c>
      <c r="F3" s="8" t="inlineStr">
        <is>
          <t>סמל אפסנאות</t>
        </is>
      </c>
      <c r="G3" s="8" t="inlineStr"/>
    </row>
    <row r="4">
      <c r="A4" s="16" t="n">
        <v>46113</v>
      </c>
      <c r="B4" s="8" t="inlineStr">
        <is>
          <t>AVATA-01</t>
        </is>
      </c>
      <c r="C4" s="8">
        <f>IFERROR(VLOOKUP(B4,'צי הרחפנים'!$B$3:$C$52,2,FALSE),"")</f>
        <v/>
      </c>
      <c r="D4" s="8" t="inlineStr">
        <is>
          <t>השאלה</t>
        </is>
      </c>
      <c r="E4" s="8" t="inlineStr">
        <is>
          <t>מאור לוי</t>
        </is>
      </c>
      <c r="F4" s="8" t="inlineStr">
        <is>
          <t>סמל אפסנאות</t>
        </is>
      </c>
      <c r="G4" s="8" t="inlineStr"/>
    </row>
    <row r="5">
      <c r="A5" s="16" t="n">
        <v>46167</v>
      </c>
      <c r="B5" s="8" t="inlineStr">
        <is>
          <t>AVATA-03</t>
        </is>
      </c>
      <c r="C5" s="8">
        <f>IFERROR(VLOOKUP(B5,'צי הרחפנים'!$B$3:$C$52,2,FALSE),"")</f>
        <v/>
      </c>
      <c r="D5" s="8" t="inlineStr">
        <is>
          <t>השאלה</t>
        </is>
      </c>
      <c r="E5" s="8" t="inlineStr">
        <is>
          <t>יוסי בר</t>
        </is>
      </c>
      <c r="F5" s="8" t="inlineStr">
        <is>
          <t>סמל אפסנאות</t>
        </is>
      </c>
      <c r="G5" s="8" t="inlineStr"/>
    </row>
    <row r="6">
      <c r="A6" s="18" t="n"/>
      <c r="B6" s="17" t="n"/>
      <c r="C6" s="8">
        <f>IFERROR(VLOOKUP(B6,'צי הרחפנים'!$B$3:$C$52,2,FALSE),"")</f>
        <v/>
      </c>
      <c r="D6" s="17" t="n"/>
      <c r="E6" s="17" t="n"/>
      <c r="F6" s="17" t="n"/>
      <c r="G6" s="17" t="n"/>
    </row>
    <row r="7">
      <c r="A7" s="18" t="n"/>
      <c r="B7" s="17" t="n"/>
      <c r="C7" s="8">
        <f>IFERROR(VLOOKUP(B7,'צי הרחפנים'!$B$3:$C$52,2,FALSE),"")</f>
        <v/>
      </c>
      <c r="D7" s="17" t="n"/>
      <c r="E7" s="17" t="n"/>
      <c r="F7" s="17" t="n"/>
      <c r="G7" s="17" t="n"/>
    </row>
    <row r="8">
      <c r="A8" s="18" t="n"/>
      <c r="B8" s="17" t="n"/>
      <c r="C8" s="8">
        <f>IFERROR(VLOOKUP(B8,'צי הרחפנים'!$B$3:$C$52,2,FALSE),"")</f>
        <v/>
      </c>
      <c r="D8" s="17" t="n"/>
      <c r="E8" s="17" t="n"/>
      <c r="F8" s="17" t="n"/>
      <c r="G8" s="17" t="n"/>
    </row>
    <row r="9">
      <c r="A9" s="18" t="n"/>
      <c r="B9" s="17" t="n"/>
      <c r="C9" s="8">
        <f>IFERROR(VLOOKUP(B9,'צי הרחפנים'!$B$3:$C$52,2,FALSE),"")</f>
        <v/>
      </c>
      <c r="D9" s="17" t="n"/>
      <c r="E9" s="17" t="n"/>
      <c r="F9" s="17" t="n"/>
      <c r="G9" s="17" t="n"/>
    </row>
    <row r="10">
      <c r="A10" s="18" t="n"/>
      <c r="B10" s="17" t="n"/>
      <c r="C10" s="8">
        <f>IFERROR(VLOOKUP(B10,'צי הרחפנים'!$B$3:$C$52,2,FALSE),"")</f>
        <v/>
      </c>
      <c r="D10" s="17" t="n"/>
      <c r="E10" s="17" t="n"/>
      <c r="F10" s="17" t="n"/>
      <c r="G10" s="17" t="n"/>
    </row>
    <row r="11">
      <c r="A11" s="18" t="n"/>
      <c r="B11" s="17" t="n"/>
      <c r="C11" s="8">
        <f>IFERROR(VLOOKUP(B11,'צי הרחפנים'!$B$3:$C$52,2,FALSE),"")</f>
        <v/>
      </c>
      <c r="D11" s="17" t="n"/>
      <c r="E11" s="17" t="n"/>
      <c r="F11" s="17" t="n"/>
      <c r="G11" s="17" t="n"/>
    </row>
    <row r="12">
      <c r="A12" s="18" t="n"/>
      <c r="B12" s="17" t="n"/>
      <c r="C12" s="8">
        <f>IFERROR(VLOOKUP(B12,'צי הרחפנים'!$B$3:$C$52,2,FALSE),"")</f>
        <v/>
      </c>
      <c r="D12" s="17" t="n"/>
      <c r="E12" s="17" t="n"/>
      <c r="F12" s="17" t="n"/>
      <c r="G12" s="17" t="n"/>
    </row>
    <row r="13">
      <c r="A13" s="18" t="n"/>
      <c r="B13" s="17" t="n"/>
      <c r="C13" s="8">
        <f>IFERROR(VLOOKUP(B13,'צי הרחפנים'!$B$3:$C$52,2,FALSE),"")</f>
        <v/>
      </c>
      <c r="D13" s="17" t="n"/>
      <c r="E13" s="17" t="n"/>
      <c r="F13" s="17" t="n"/>
      <c r="G13" s="17" t="n"/>
    </row>
    <row r="14">
      <c r="A14" s="18" t="n"/>
      <c r="B14" s="17" t="n"/>
      <c r="C14" s="8">
        <f>IFERROR(VLOOKUP(B14,'צי הרחפנים'!$B$3:$C$52,2,FALSE),"")</f>
        <v/>
      </c>
      <c r="D14" s="17" t="n"/>
      <c r="E14" s="17" t="n"/>
      <c r="F14" s="17" t="n"/>
      <c r="G14" s="17" t="n"/>
    </row>
    <row r="15">
      <c r="A15" s="18" t="n"/>
      <c r="B15" s="17" t="n"/>
      <c r="C15" s="8">
        <f>IFERROR(VLOOKUP(B15,'צי הרחפנים'!$B$3:$C$52,2,FALSE),"")</f>
        <v/>
      </c>
      <c r="D15" s="17" t="n"/>
      <c r="E15" s="17" t="n"/>
      <c r="F15" s="17" t="n"/>
      <c r="G15" s="17" t="n"/>
    </row>
    <row r="16">
      <c r="A16" s="18" t="n"/>
      <c r="B16" s="17" t="n"/>
      <c r="C16" s="8">
        <f>IFERROR(VLOOKUP(B16,'צי הרחפנים'!$B$3:$C$52,2,FALSE),"")</f>
        <v/>
      </c>
      <c r="D16" s="17" t="n"/>
      <c r="E16" s="17" t="n"/>
      <c r="F16" s="17" t="n"/>
      <c r="G16" s="17" t="n"/>
    </row>
    <row r="17">
      <c r="A17" s="18" t="n"/>
      <c r="B17" s="17" t="n"/>
      <c r="C17" s="8">
        <f>IFERROR(VLOOKUP(B17,'צי הרחפנים'!$B$3:$C$52,2,FALSE),"")</f>
        <v/>
      </c>
      <c r="D17" s="17" t="n"/>
      <c r="E17" s="17" t="n"/>
      <c r="F17" s="17" t="n"/>
      <c r="G17" s="17" t="n"/>
    </row>
    <row r="18">
      <c r="A18" s="18" t="n"/>
      <c r="B18" s="17" t="n"/>
      <c r="C18" s="8">
        <f>IFERROR(VLOOKUP(B18,'צי הרחפנים'!$B$3:$C$52,2,FALSE),"")</f>
        <v/>
      </c>
      <c r="D18" s="17" t="n"/>
      <c r="E18" s="17" t="n"/>
      <c r="F18" s="17" t="n"/>
      <c r="G18" s="17" t="n"/>
    </row>
    <row r="19">
      <c r="A19" s="18" t="n"/>
      <c r="B19" s="17" t="n"/>
      <c r="C19" s="8">
        <f>IFERROR(VLOOKUP(B19,'צי הרחפנים'!$B$3:$C$52,2,FALSE),"")</f>
        <v/>
      </c>
      <c r="D19" s="17" t="n"/>
      <c r="E19" s="17" t="n"/>
      <c r="F19" s="17" t="n"/>
      <c r="G19" s="17" t="n"/>
    </row>
    <row r="20">
      <c r="A20" s="18" t="n"/>
      <c r="B20" s="17" t="n"/>
      <c r="C20" s="8">
        <f>IFERROR(VLOOKUP(B20,'צי הרחפנים'!$B$3:$C$52,2,FALSE),"")</f>
        <v/>
      </c>
      <c r="D20" s="17" t="n"/>
      <c r="E20" s="17" t="n"/>
      <c r="F20" s="17" t="n"/>
      <c r="G20" s="17" t="n"/>
    </row>
    <row r="21">
      <c r="A21" s="18" t="n"/>
      <c r="B21" s="17" t="n"/>
      <c r="C21" s="8">
        <f>IFERROR(VLOOKUP(B21,'צי הרחפנים'!$B$3:$C$52,2,FALSE),"")</f>
        <v/>
      </c>
      <c r="D21" s="17" t="n"/>
      <c r="E21" s="17" t="n"/>
      <c r="F21" s="17" t="n"/>
      <c r="G21" s="17" t="n"/>
    </row>
    <row r="22">
      <c r="A22" s="18" t="n"/>
      <c r="B22" s="17" t="n"/>
      <c r="C22" s="8">
        <f>IFERROR(VLOOKUP(B22,'צי הרחפנים'!$B$3:$C$52,2,FALSE),"")</f>
        <v/>
      </c>
      <c r="D22" s="17" t="n"/>
      <c r="E22" s="17" t="n"/>
      <c r="F22" s="17" t="n"/>
      <c r="G22" s="17" t="n"/>
    </row>
    <row r="23">
      <c r="A23" s="18" t="n"/>
      <c r="B23" s="17" t="n"/>
      <c r="C23" s="8">
        <f>IFERROR(VLOOKUP(B23,'צי הרחפנים'!$B$3:$C$52,2,FALSE),"")</f>
        <v/>
      </c>
      <c r="D23" s="17" t="n"/>
      <c r="E23" s="17" t="n"/>
      <c r="F23" s="17" t="n"/>
      <c r="G23" s="17" t="n"/>
    </row>
    <row r="24">
      <c r="A24" s="18" t="n"/>
      <c r="B24" s="17" t="n"/>
      <c r="C24" s="8">
        <f>IFERROR(VLOOKUP(B24,'צי הרחפנים'!$B$3:$C$52,2,FALSE),"")</f>
        <v/>
      </c>
      <c r="D24" s="17" t="n"/>
      <c r="E24" s="17" t="n"/>
      <c r="F24" s="17" t="n"/>
      <c r="G24" s="17" t="n"/>
    </row>
    <row r="25">
      <c r="A25" s="18" t="n"/>
      <c r="B25" s="17" t="n"/>
      <c r="C25" s="8">
        <f>IFERROR(VLOOKUP(B25,'צי הרחפנים'!$B$3:$C$52,2,FALSE),"")</f>
        <v/>
      </c>
      <c r="D25" s="17" t="n"/>
      <c r="E25" s="17" t="n"/>
      <c r="F25" s="17" t="n"/>
      <c r="G25" s="17" t="n"/>
    </row>
    <row r="26">
      <c r="A26" s="18" t="n"/>
      <c r="B26" s="17" t="n"/>
      <c r="C26" s="8">
        <f>IFERROR(VLOOKUP(B26,'צי הרחפנים'!$B$3:$C$52,2,FALSE),"")</f>
        <v/>
      </c>
      <c r="D26" s="17" t="n"/>
      <c r="E26" s="17" t="n"/>
      <c r="F26" s="17" t="n"/>
      <c r="G26" s="17" t="n"/>
    </row>
    <row r="27">
      <c r="A27" s="18" t="n"/>
      <c r="B27" s="17" t="n"/>
      <c r="C27" s="8">
        <f>IFERROR(VLOOKUP(B27,'צי הרחפנים'!$B$3:$C$52,2,FALSE),"")</f>
        <v/>
      </c>
      <c r="D27" s="17" t="n"/>
      <c r="E27" s="17" t="n"/>
      <c r="F27" s="17" t="n"/>
      <c r="G27" s="17" t="n"/>
    </row>
    <row r="28">
      <c r="A28" s="18" t="n"/>
      <c r="B28" s="17" t="n"/>
      <c r="C28" s="8">
        <f>IFERROR(VLOOKUP(B28,'צי הרחפנים'!$B$3:$C$52,2,FALSE),"")</f>
        <v/>
      </c>
      <c r="D28" s="17" t="n"/>
      <c r="E28" s="17" t="n"/>
      <c r="F28" s="17" t="n"/>
      <c r="G28" s="17" t="n"/>
    </row>
    <row r="29">
      <c r="A29" s="18" t="n"/>
      <c r="B29" s="17" t="n"/>
      <c r="C29" s="8">
        <f>IFERROR(VLOOKUP(B29,'צי הרחפנים'!$B$3:$C$52,2,FALSE),"")</f>
        <v/>
      </c>
      <c r="D29" s="17" t="n"/>
      <c r="E29" s="17" t="n"/>
      <c r="F29" s="17" t="n"/>
      <c r="G29" s="17" t="n"/>
    </row>
    <row r="30">
      <c r="A30" s="18" t="n"/>
      <c r="B30" s="17" t="n"/>
      <c r="C30" s="8">
        <f>IFERROR(VLOOKUP(B30,'צי הרחפנים'!$B$3:$C$52,2,FALSE),"")</f>
        <v/>
      </c>
      <c r="D30" s="17" t="n"/>
      <c r="E30" s="17" t="n"/>
      <c r="F30" s="17" t="n"/>
      <c r="G30" s="17" t="n"/>
    </row>
    <row r="31">
      <c r="A31" s="18" t="n"/>
      <c r="B31" s="17" t="n"/>
      <c r="C31" s="8">
        <f>IFERROR(VLOOKUP(B31,'צי הרחפנים'!$B$3:$C$52,2,FALSE),"")</f>
        <v/>
      </c>
      <c r="D31" s="17" t="n"/>
      <c r="E31" s="17" t="n"/>
      <c r="F31" s="17" t="n"/>
      <c r="G31" s="17" t="n"/>
    </row>
    <row r="32">
      <c r="A32" s="18" t="n"/>
      <c r="B32" s="17" t="n"/>
      <c r="C32" s="8">
        <f>IFERROR(VLOOKUP(B32,'צי הרחפנים'!$B$3:$C$52,2,FALSE),"")</f>
        <v/>
      </c>
      <c r="D32" s="17" t="n"/>
      <c r="E32" s="17" t="n"/>
      <c r="F32" s="17" t="n"/>
      <c r="G32" s="17" t="n"/>
    </row>
    <row r="33">
      <c r="A33" s="18" t="n"/>
      <c r="B33" s="17" t="n"/>
      <c r="C33" s="8">
        <f>IFERROR(VLOOKUP(B33,'צי הרחפנים'!$B$3:$C$52,2,FALSE),"")</f>
        <v/>
      </c>
      <c r="D33" s="17" t="n"/>
      <c r="E33" s="17" t="n"/>
      <c r="F33" s="17" t="n"/>
      <c r="G33" s="17" t="n"/>
    </row>
    <row r="34">
      <c r="A34" s="18" t="n"/>
      <c r="B34" s="17" t="n"/>
      <c r="C34" s="8">
        <f>IFERROR(VLOOKUP(B34,'צי הרחפנים'!$B$3:$C$52,2,FALSE),"")</f>
        <v/>
      </c>
      <c r="D34" s="17" t="n"/>
      <c r="E34" s="17" t="n"/>
      <c r="F34" s="17" t="n"/>
      <c r="G34" s="17" t="n"/>
    </row>
    <row r="35">
      <c r="A35" s="18" t="n"/>
      <c r="B35" s="17" t="n"/>
      <c r="C35" s="8">
        <f>IFERROR(VLOOKUP(B35,'צי הרחפנים'!$B$3:$C$52,2,FALSE),"")</f>
        <v/>
      </c>
      <c r="D35" s="17" t="n"/>
      <c r="E35" s="17" t="n"/>
      <c r="F35" s="17" t="n"/>
      <c r="G35" s="17" t="n"/>
    </row>
    <row r="36">
      <c r="A36" s="18" t="n"/>
      <c r="B36" s="17" t="n"/>
      <c r="C36" s="8">
        <f>IFERROR(VLOOKUP(B36,'צי הרחפנים'!$B$3:$C$52,2,FALSE),"")</f>
        <v/>
      </c>
      <c r="D36" s="17" t="n"/>
      <c r="E36" s="17" t="n"/>
      <c r="F36" s="17" t="n"/>
      <c r="G36" s="17" t="n"/>
    </row>
    <row r="37">
      <c r="A37" s="18" t="n"/>
      <c r="B37" s="17" t="n"/>
      <c r="C37" s="8">
        <f>IFERROR(VLOOKUP(B37,'צי הרחפנים'!$B$3:$C$52,2,FALSE),"")</f>
        <v/>
      </c>
      <c r="D37" s="17" t="n"/>
      <c r="E37" s="17" t="n"/>
      <c r="F37" s="17" t="n"/>
      <c r="G37" s="17" t="n"/>
    </row>
    <row r="38">
      <c r="A38" s="18" t="n"/>
      <c r="B38" s="17" t="n"/>
      <c r="C38" s="8">
        <f>IFERROR(VLOOKUP(B38,'צי הרחפנים'!$B$3:$C$52,2,FALSE),"")</f>
        <v/>
      </c>
      <c r="D38" s="17" t="n"/>
      <c r="E38" s="17" t="n"/>
      <c r="F38" s="17" t="n"/>
      <c r="G38" s="17" t="n"/>
    </row>
    <row r="39">
      <c r="A39" s="18" t="n"/>
      <c r="B39" s="17" t="n"/>
      <c r="C39" s="8">
        <f>IFERROR(VLOOKUP(B39,'צי הרחפנים'!$B$3:$C$52,2,FALSE),"")</f>
        <v/>
      </c>
      <c r="D39" s="17" t="n"/>
      <c r="E39" s="17" t="n"/>
      <c r="F39" s="17" t="n"/>
      <c r="G39" s="17" t="n"/>
    </row>
    <row r="40">
      <c r="A40" s="18" t="n"/>
      <c r="B40" s="17" t="n"/>
      <c r="C40" s="8">
        <f>IFERROR(VLOOKUP(B40,'צי הרחפנים'!$B$3:$C$52,2,FALSE),"")</f>
        <v/>
      </c>
      <c r="D40" s="17" t="n"/>
      <c r="E40" s="17" t="n"/>
      <c r="F40" s="17" t="n"/>
      <c r="G40" s="17" t="n"/>
    </row>
    <row r="41">
      <c r="A41" s="18" t="n"/>
      <c r="B41" s="17" t="n"/>
      <c r="C41" s="8">
        <f>IFERROR(VLOOKUP(B41,'צי הרחפנים'!$B$3:$C$52,2,FALSE),"")</f>
        <v/>
      </c>
      <c r="D41" s="17" t="n"/>
      <c r="E41" s="17" t="n"/>
      <c r="F41" s="17" t="n"/>
      <c r="G41" s="17" t="n"/>
    </row>
    <row r="42">
      <c r="A42" s="18" t="n"/>
      <c r="B42" s="17" t="n"/>
      <c r="C42" s="8">
        <f>IFERROR(VLOOKUP(B42,'צי הרחפנים'!$B$3:$C$52,2,FALSE),"")</f>
        <v/>
      </c>
      <c r="D42" s="17" t="n"/>
      <c r="E42" s="17" t="n"/>
      <c r="F42" s="17" t="n"/>
      <c r="G42" s="17" t="n"/>
    </row>
    <row r="43">
      <c r="A43" s="18" t="n"/>
      <c r="B43" s="17" t="n"/>
      <c r="C43" s="8">
        <f>IFERROR(VLOOKUP(B43,'צי הרחפנים'!$B$3:$C$52,2,FALSE),"")</f>
        <v/>
      </c>
      <c r="D43" s="17" t="n"/>
      <c r="E43" s="17" t="n"/>
      <c r="F43" s="17" t="n"/>
      <c r="G43" s="17" t="n"/>
    </row>
    <row r="44">
      <c r="A44" s="18" t="n"/>
      <c r="B44" s="17" t="n"/>
      <c r="C44" s="8">
        <f>IFERROR(VLOOKUP(B44,'צי הרחפנים'!$B$3:$C$52,2,FALSE),"")</f>
        <v/>
      </c>
      <c r="D44" s="17" t="n"/>
      <c r="E44" s="17" t="n"/>
      <c r="F44" s="17" t="n"/>
      <c r="G44" s="17" t="n"/>
    </row>
    <row r="45">
      <c r="A45" s="18" t="n"/>
      <c r="B45" s="17" t="n"/>
      <c r="C45" s="8">
        <f>IFERROR(VLOOKUP(B45,'צי הרחפנים'!$B$3:$C$52,2,FALSE),"")</f>
        <v/>
      </c>
      <c r="D45" s="17" t="n"/>
      <c r="E45" s="17" t="n"/>
      <c r="F45" s="17" t="n"/>
      <c r="G45" s="17" t="n"/>
    </row>
    <row r="46">
      <c r="A46" s="18" t="n"/>
      <c r="B46" s="17" t="n"/>
      <c r="C46" s="8">
        <f>IFERROR(VLOOKUP(B46,'צי הרחפנים'!$B$3:$C$52,2,FALSE),"")</f>
        <v/>
      </c>
      <c r="D46" s="17" t="n"/>
      <c r="E46" s="17" t="n"/>
      <c r="F46" s="17" t="n"/>
      <c r="G46" s="17" t="n"/>
    </row>
    <row r="47">
      <c r="A47" s="18" t="n"/>
      <c r="B47" s="17" t="n"/>
      <c r="C47" s="8">
        <f>IFERROR(VLOOKUP(B47,'צי הרחפנים'!$B$3:$C$52,2,FALSE),"")</f>
        <v/>
      </c>
      <c r="D47" s="17" t="n"/>
      <c r="E47" s="17" t="n"/>
      <c r="F47" s="17" t="n"/>
      <c r="G47" s="17" t="n"/>
    </row>
    <row r="48">
      <c r="A48" s="18" t="n"/>
      <c r="B48" s="17" t="n"/>
      <c r="C48" s="8">
        <f>IFERROR(VLOOKUP(B48,'צי הרחפנים'!$B$3:$C$52,2,FALSE),"")</f>
        <v/>
      </c>
      <c r="D48" s="17" t="n"/>
      <c r="E48" s="17" t="n"/>
      <c r="F48" s="17" t="n"/>
      <c r="G48" s="17" t="n"/>
    </row>
    <row r="49">
      <c r="A49" s="18" t="n"/>
      <c r="B49" s="17" t="n"/>
      <c r="C49" s="8">
        <f>IFERROR(VLOOKUP(B49,'צי הרחפנים'!$B$3:$C$52,2,FALSE),"")</f>
        <v/>
      </c>
      <c r="D49" s="17" t="n"/>
      <c r="E49" s="17" t="n"/>
      <c r="F49" s="17" t="n"/>
      <c r="G49" s="17" t="n"/>
    </row>
    <row r="50">
      <c r="A50" s="18" t="n"/>
      <c r="B50" s="17" t="n"/>
      <c r="C50" s="8">
        <f>IFERROR(VLOOKUP(B50,'צי הרחפנים'!$B$3:$C$52,2,FALSE),"")</f>
        <v/>
      </c>
      <c r="D50" s="17" t="n"/>
      <c r="E50" s="17" t="n"/>
      <c r="F50" s="17" t="n"/>
      <c r="G50" s="17" t="n"/>
    </row>
    <row r="51">
      <c r="A51" s="18" t="n"/>
      <c r="B51" s="17" t="n"/>
      <c r="C51" s="8">
        <f>IFERROR(VLOOKUP(B51,'צי הרחפנים'!$B$3:$C$52,2,FALSE),"")</f>
        <v/>
      </c>
      <c r="D51" s="17" t="n"/>
      <c r="E51" s="17" t="n"/>
      <c r="F51" s="17" t="n"/>
      <c r="G51" s="17" t="n"/>
    </row>
    <row r="52">
      <c r="A52" s="18" t="n"/>
      <c r="B52" s="17" t="n"/>
      <c r="C52" s="8">
        <f>IFERROR(VLOOKUP(B52,'צי הרחפנים'!$B$3:$C$52,2,FALSE),"")</f>
        <v/>
      </c>
      <c r="D52" s="17" t="n"/>
      <c r="E52" s="17" t="n"/>
      <c r="F52" s="17" t="n"/>
      <c r="G52" s="17" t="n"/>
    </row>
    <row r="53">
      <c r="A53" s="18" t="n"/>
      <c r="B53" s="17" t="n"/>
      <c r="C53" s="8">
        <f>IFERROR(VLOOKUP(B53,'צי הרחפנים'!$B$3:$C$52,2,FALSE),"")</f>
        <v/>
      </c>
      <c r="D53" s="17" t="n"/>
      <c r="E53" s="17" t="n"/>
      <c r="F53" s="17" t="n"/>
      <c r="G53" s="17" t="n"/>
    </row>
    <row r="54">
      <c r="A54" s="18" t="n"/>
      <c r="B54" s="17" t="n"/>
      <c r="C54" s="8">
        <f>IFERROR(VLOOKUP(B54,'צי הרחפנים'!$B$3:$C$52,2,FALSE),"")</f>
        <v/>
      </c>
      <c r="D54" s="17" t="n"/>
      <c r="E54" s="17" t="n"/>
      <c r="F54" s="17" t="n"/>
      <c r="G54" s="17" t="n"/>
    </row>
    <row r="55">
      <c r="A55" s="18" t="n"/>
      <c r="B55" s="17" t="n"/>
      <c r="C55" s="8">
        <f>IFERROR(VLOOKUP(B55,'צי הרחפנים'!$B$3:$C$52,2,FALSE),"")</f>
        <v/>
      </c>
      <c r="D55" s="17" t="n"/>
      <c r="E55" s="17" t="n"/>
      <c r="F55" s="17" t="n"/>
      <c r="G55" s="17" t="n"/>
    </row>
    <row r="56">
      <c r="A56" s="18" t="n"/>
      <c r="B56" s="17" t="n"/>
      <c r="C56" s="8">
        <f>IFERROR(VLOOKUP(B56,'צי הרחפנים'!$B$3:$C$52,2,FALSE),"")</f>
        <v/>
      </c>
      <c r="D56" s="17" t="n"/>
      <c r="E56" s="17" t="n"/>
      <c r="F56" s="17" t="n"/>
      <c r="G56" s="17" t="n"/>
    </row>
    <row r="57">
      <c r="A57" s="18" t="n"/>
      <c r="B57" s="17" t="n"/>
      <c r="C57" s="8">
        <f>IFERROR(VLOOKUP(B57,'צי הרחפנים'!$B$3:$C$52,2,FALSE),"")</f>
        <v/>
      </c>
      <c r="D57" s="17" t="n"/>
      <c r="E57" s="17" t="n"/>
      <c r="F57" s="17" t="n"/>
      <c r="G57" s="17" t="n"/>
    </row>
    <row r="58">
      <c r="A58" s="18" t="n"/>
      <c r="B58" s="17" t="n"/>
      <c r="C58" s="8">
        <f>IFERROR(VLOOKUP(B58,'צי הרחפנים'!$B$3:$C$52,2,FALSE),"")</f>
        <v/>
      </c>
      <c r="D58" s="17" t="n"/>
      <c r="E58" s="17" t="n"/>
      <c r="F58" s="17" t="n"/>
      <c r="G58" s="17" t="n"/>
    </row>
    <row r="59">
      <c r="A59" s="18" t="n"/>
      <c r="B59" s="17" t="n"/>
      <c r="C59" s="8">
        <f>IFERROR(VLOOKUP(B59,'צי הרחפנים'!$B$3:$C$52,2,FALSE),"")</f>
        <v/>
      </c>
      <c r="D59" s="17" t="n"/>
      <c r="E59" s="17" t="n"/>
      <c r="F59" s="17" t="n"/>
      <c r="G59" s="17" t="n"/>
    </row>
    <row r="60">
      <c r="A60" s="18" t="n"/>
      <c r="B60" s="17" t="n"/>
      <c r="C60" s="8">
        <f>IFERROR(VLOOKUP(B60,'צי הרחפנים'!$B$3:$C$52,2,FALSE),"")</f>
        <v/>
      </c>
      <c r="D60" s="17" t="n"/>
      <c r="E60" s="17" t="n"/>
      <c r="F60" s="17" t="n"/>
      <c r="G60" s="17" t="n"/>
    </row>
    <row r="61">
      <c r="A61" s="18" t="n"/>
      <c r="B61" s="17" t="n"/>
      <c r="C61" s="8">
        <f>IFERROR(VLOOKUP(B61,'צי הרחפנים'!$B$3:$C$52,2,FALSE),"")</f>
        <v/>
      </c>
      <c r="D61" s="17" t="n"/>
      <c r="E61" s="17" t="n"/>
      <c r="F61" s="17" t="n"/>
      <c r="G61" s="17" t="n"/>
    </row>
    <row r="62">
      <c r="A62" s="18" t="n"/>
      <c r="B62" s="17" t="n"/>
      <c r="C62" s="8">
        <f>IFERROR(VLOOKUP(B62,'צי הרחפנים'!$B$3:$C$52,2,FALSE),"")</f>
        <v/>
      </c>
      <c r="D62" s="17" t="n"/>
      <c r="E62" s="17" t="n"/>
      <c r="F62" s="17" t="n"/>
      <c r="G62" s="17" t="n"/>
    </row>
    <row r="63">
      <c r="A63" s="18" t="n"/>
      <c r="B63" s="17" t="n"/>
      <c r="C63" s="8">
        <f>IFERROR(VLOOKUP(B63,'צי הרחפנים'!$B$3:$C$52,2,FALSE),"")</f>
        <v/>
      </c>
      <c r="D63" s="17" t="n"/>
      <c r="E63" s="17" t="n"/>
      <c r="F63" s="17" t="n"/>
      <c r="G63" s="17" t="n"/>
    </row>
    <row r="64">
      <c r="A64" s="18" t="n"/>
      <c r="B64" s="17" t="n"/>
      <c r="C64" s="8">
        <f>IFERROR(VLOOKUP(B64,'צי הרחפנים'!$B$3:$C$52,2,FALSE),"")</f>
        <v/>
      </c>
      <c r="D64" s="17" t="n"/>
      <c r="E64" s="17" t="n"/>
      <c r="F64" s="17" t="n"/>
      <c r="G64" s="17" t="n"/>
    </row>
    <row r="65">
      <c r="A65" s="18" t="n"/>
      <c r="B65" s="17" t="n"/>
      <c r="C65" s="8">
        <f>IFERROR(VLOOKUP(B65,'צי הרחפנים'!$B$3:$C$52,2,FALSE),"")</f>
        <v/>
      </c>
      <c r="D65" s="17" t="n"/>
      <c r="E65" s="17" t="n"/>
      <c r="F65" s="17" t="n"/>
      <c r="G65" s="17" t="n"/>
    </row>
    <row r="66">
      <c r="A66" s="18" t="n"/>
      <c r="B66" s="17" t="n"/>
      <c r="C66" s="8">
        <f>IFERROR(VLOOKUP(B66,'צי הרחפנים'!$B$3:$C$52,2,FALSE),"")</f>
        <v/>
      </c>
      <c r="D66" s="17" t="n"/>
      <c r="E66" s="17" t="n"/>
      <c r="F66" s="17" t="n"/>
      <c r="G66" s="17" t="n"/>
    </row>
    <row r="67">
      <c r="A67" s="18" t="n"/>
      <c r="B67" s="17" t="n"/>
      <c r="C67" s="8">
        <f>IFERROR(VLOOKUP(B67,'צי הרחפנים'!$B$3:$C$52,2,FALSE),"")</f>
        <v/>
      </c>
      <c r="D67" s="17" t="n"/>
      <c r="E67" s="17" t="n"/>
      <c r="F67" s="17" t="n"/>
      <c r="G67" s="17" t="n"/>
    </row>
    <row r="68">
      <c r="A68" s="18" t="n"/>
      <c r="B68" s="17" t="n"/>
      <c r="C68" s="8">
        <f>IFERROR(VLOOKUP(B68,'צי הרחפנים'!$B$3:$C$52,2,FALSE),"")</f>
        <v/>
      </c>
      <c r="D68" s="17" t="n"/>
      <c r="E68" s="17" t="n"/>
      <c r="F68" s="17" t="n"/>
      <c r="G68" s="17" t="n"/>
    </row>
    <row r="69">
      <c r="A69" s="18" t="n"/>
      <c r="B69" s="17" t="n"/>
      <c r="C69" s="8">
        <f>IFERROR(VLOOKUP(B69,'צי הרחפנים'!$B$3:$C$52,2,FALSE),"")</f>
        <v/>
      </c>
      <c r="D69" s="17" t="n"/>
      <c r="E69" s="17" t="n"/>
      <c r="F69" s="17" t="n"/>
      <c r="G69" s="17" t="n"/>
    </row>
    <row r="70">
      <c r="A70" s="18" t="n"/>
      <c r="B70" s="17" t="n"/>
      <c r="C70" s="8">
        <f>IFERROR(VLOOKUP(B70,'צי הרחפנים'!$B$3:$C$52,2,FALSE),"")</f>
        <v/>
      </c>
      <c r="D70" s="17" t="n"/>
      <c r="E70" s="17" t="n"/>
      <c r="F70" s="17" t="n"/>
      <c r="G70" s="17" t="n"/>
    </row>
    <row r="71">
      <c r="A71" s="18" t="n"/>
      <c r="B71" s="17" t="n"/>
      <c r="C71" s="8">
        <f>IFERROR(VLOOKUP(B71,'צי הרחפנים'!$B$3:$C$52,2,FALSE),"")</f>
        <v/>
      </c>
      <c r="D71" s="17" t="n"/>
      <c r="E71" s="17" t="n"/>
      <c r="F71" s="17" t="n"/>
      <c r="G71" s="17" t="n"/>
    </row>
    <row r="72">
      <c r="A72" s="18" t="n"/>
      <c r="B72" s="17" t="n"/>
      <c r="C72" s="8">
        <f>IFERROR(VLOOKUP(B72,'צי הרחפנים'!$B$3:$C$52,2,FALSE),"")</f>
        <v/>
      </c>
      <c r="D72" s="17" t="n"/>
      <c r="E72" s="17" t="n"/>
      <c r="F72" s="17" t="n"/>
      <c r="G72" s="17" t="n"/>
    </row>
    <row r="73">
      <c r="A73" s="18" t="n"/>
      <c r="B73" s="17" t="n"/>
      <c r="C73" s="8">
        <f>IFERROR(VLOOKUP(B73,'צי הרחפנים'!$B$3:$C$52,2,FALSE),"")</f>
        <v/>
      </c>
      <c r="D73" s="17" t="n"/>
      <c r="E73" s="17" t="n"/>
      <c r="F73" s="17" t="n"/>
      <c r="G73" s="17" t="n"/>
    </row>
    <row r="74">
      <c r="A74" s="18" t="n"/>
      <c r="B74" s="17" t="n"/>
      <c r="C74" s="8">
        <f>IFERROR(VLOOKUP(B74,'צי הרחפנים'!$B$3:$C$52,2,FALSE),"")</f>
        <v/>
      </c>
      <c r="D74" s="17" t="n"/>
      <c r="E74" s="17" t="n"/>
      <c r="F74" s="17" t="n"/>
      <c r="G74" s="17" t="n"/>
    </row>
    <row r="75">
      <c r="A75" s="18" t="n"/>
      <c r="B75" s="17" t="n"/>
      <c r="C75" s="8">
        <f>IFERROR(VLOOKUP(B75,'צי הרחפנים'!$B$3:$C$52,2,FALSE),"")</f>
        <v/>
      </c>
      <c r="D75" s="17" t="n"/>
      <c r="E75" s="17" t="n"/>
      <c r="F75" s="17" t="n"/>
      <c r="G75" s="17" t="n"/>
    </row>
    <row r="76">
      <c r="A76" s="18" t="n"/>
      <c r="B76" s="17" t="n"/>
      <c r="C76" s="8">
        <f>IFERROR(VLOOKUP(B76,'צי הרחפנים'!$B$3:$C$52,2,FALSE),"")</f>
        <v/>
      </c>
      <c r="D76" s="17" t="n"/>
      <c r="E76" s="17" t="n"/>
      <c r="F76" s="17" t="n"/>
      <c r="G76" s="17" t="n"/>
    </row>
    <row r="77">
      <c r="A77" s="18" t="n"/>
      <c r="B77" s="17" t="n"/>
      <c r="C77" s="8">
        <f>IFERROR(VLOOKUP(B77,'צי הרחפנים'!$B$3:$C$52,2,FALSE),"")</f>
        <v/>
      </c>
      <c r="D77" s="17" t="n"/>
      <c r="E77" s="17" t="n"/>
      <c r="F77" s="17" t="n"/>
      <c r="G77" s="17" t="n"/>
    </row>
    <row r="78">
      <c r="A78" s="18" t="n"/>
      <c r="B78" s="17" t="n"/>
      <c r="C78" s="8">
        <f>IFERROR(VLOOKUP(B78,'צי הרחפנים'!$B$3:$C$52,2,FALSE),"")</f>
        <v/>
      </c>
      <c r="D78" s="17" t="n"/>
      <c r="E78" s="17" t="n"/>
      <c r="F78" s="17" t="n"/>
      <c r="G78" s="17" t="n"/>
    </row>
    <row r="79">
      <c r="A79" s="18" t="n"/>
      <c r="B79" s="17" t="n"/>
      <c r="C79" s="8">
        <f>IFERROR(VLOOKUP(B79,'צי הרחפנים'!$B$3:$C$52,2,FALSE),"")</f>
        <v/>
      </c>
      <c r="D79" s="17" t="n"/>
      <c r="E79" s="17" t="n"/>
      <c r="F79" s="17" t="n"/>
      <c r="G79" s="17" t="n"/>
    </row>
    <row r="80">
      <c r="A80" s="18" t="n"/>
      <c r="B80" s="17" t="n"/>
      <c r="C80" s="8">
        <f>IFERROR(VLOOKUP(B80,'צי הרחפנים'!$B$3:$C$52,2,FALSE),"")</f>
        <v/>
      </c>
      <c r="D80" s="17" t="n"/>
      <c r="E80" s="17" t="n"/>
      <c r="F80" s="17" t="n"/>
      <c r="G80" s="17" t="n"/>
    </row>
    <row r="81">
      <c r="A81" s="18" t="n"/>
      <c r="B81" s="17" t="n"/>
      <c r="C81" s="8">
        <f>IFERROR(VLOOKUP(B81,'צי הרחפנים'!$B$3:$C$52,2,FALSE),"")</f>
        <v/>
      </c>
      <c r="D81" s="17" t="n"/>
      <c r="E81" s="17" t="n"/>
      <c r="F81" s="17" t="n"/>
      <c r="G81" s="17" t="n"/>
    </row>
    <row r="82">
      <c r="A82" s="18" t="n"/>
      <c r="B82" s="17" t="n"/>
      <c r="C82" s="8">
        <f>IFERROR(VLOOKUP(B82,'צי הרחפנים'!$B$3:$C$52,2,FALSE),"")</f>
        <v/>
      </c>
      <c r="D82" s="17" t="n"/>
      <c r="E82" s="17" t="n"/>
      <c r="F82" s="17" t="n"/>
      <c r="G82" s="17" t="n"/>
    </row>
    <row r="83">
      <c r="A83" s="18" t="n"/>
      <c r="B83" s="17" t="n"/>
      <c r="C83" s="8">
        <f>IFERROR(VLOOKUP(B83,'צי הרחפנים'!$B$3:$C$52,2,FALSE),"")</f>
        <v/>
      </c>
      <c r="D83" s="17" t="n"/>
      <c r="E83" s="17" t="n"/>
      <c r="F83" s="17" t="n"/>
      <c r="G83" s="17" t="n"/>
    </row>
    <row r="84">
      <c r="A84" s="18" t="n"/>
      <c r="B84" s="17" t="n"/>
      <c r="C84" s="8">
        <f>IFERROR(VLOOKUP(B84,'צי הרחפנים'!$B$3:$C$52,2,FALSE),"")</f>
        <v/>
      </c>
      <c r="D84" s="17" t="n"/>
      <c r="E84" s="17" t="n"/>
      <c r="F84" s="17" t="n"/>
      <c r="G84" s="17" t="n"/>
    </row>
    <row r="85">
      <c r="A85" s="18" t="n"/>
      <c r="B85" s="17" t="n"/>
      <c r="C85" s="8">
        <f>IFERROR(VLOOKUP(B85,'צי הרחפנים'!$B$3:$C$52,2,FALSE),"")</f>
        <v/>
      </c>
      <c r="D85" s="17" t="n"/>
      <c r="E85" s="17" t="n"/>
      <c r="F85" s="17" t="n"/>
      <c r="G85" s="17" t="n"/>
    </row>
    <row r="86">
      <c r="A86" s="18" t="n"/>
      <c r="B86" s="17" t="n"/>
      <c r="C86" s="8">
        <f>IFERROR(VLOOKUP(B86,'צי הרחפנים'!$B$3:$C$52,2,FALSE),"")</f>
        <v/>
      </c>
      <c r="D86" s="17" t="n"/>
      <c r="E86" s="17" t="n"/>
      <c r="F86" s="17" t="n"/>
      <c r="G86" s="17" t="n"/>
    </row>
    <row r="87">
      <c r="A87" s="18" t="n"/>
      <c r="B87" s="17" t="n"/>
      <c r="C87" s="8">
        <f>IFERROR(VLOOKUP(B87,'צי הרחפנים'!$B$3:$C$52,2,FALSE),"")</f>
        <v/>
      </c>
      <c r="D87" s="17" t="n"/>
      <c r="E87" s="17" t="n"/>
      <c r="F87" s="17" t="n"/>
      <c r="G87" s="17" t="n"/>
    </row>
    <row r="88">
      <c r="A88" s="18" t="n"/>
      <c r="B88" s="17" t="n"/>
      <c r="C88" s="8">
        <f>IFERROR(VLOOKUP(B88,'צי הרחפנים'!$B$3:$C$52,2,FALSE),"")</f>
        <v/>
      </c>
      <c r="D88" s="17" t="n"/>
      <c r="E88" s="17" t="n"/>
      <c r="F88" s="17" t="n"/>
      <c r="G88" s="17" t="n"/>
    </row>
    <row r="89">
      <c r="A89" s="18" t="n"/>
      <c r="B89" s="17" t="n"/>
      <c r="C89" s="8">
        <f>IFERROR(VLOOKUP(B89,'צי הרחפנים'!$B$3:$C$52,2,FALSE),"")</f>
        <v/>
      </c>
      <c r="D89" s="17" t="n"/>
      <c r="E89" s="17" t="n"/>
      <c r="F89" s="17" t="n"/>
      <c r="G89" s="17" t="n"/>
    </row>
    <row r="90">
      <c r="A90" s="18" t="n"/>
      <c r="B90" s="17" t="n"/>
      <c r="C90" s="8">
        <f>IFERROR(VLOOKUP(B90,'צי הרחפנים'!$B$3:$C$52,2,FALSE),"")</f>
        <v/>
      </c>
      <c r="D90" s="17" t="n"/>
      <c r="E90" s="17" t="n"/>
      <c r="F90" s="17" t="n"/>
      <c r="G90" s="17" t="n"/>
    </row>
    <row r="91">
      <c r="A91" s="18" t="n"/>
      <c r="B91" s="17" t="n"/>
      <c r="C91" s="8">
        <f>IFERROR(VLOOKUP(B91,'צי הרחפנים'!$B$3:$C$52,2,FALSE),"")</f>
        <v/>
      </c>
      <c r="D91" s="17" t="n"/>
      <c r="E91" s="17" t="n"/>
      <c r="F91" s="17" t="n"/>
      <c r="G91" s="17" t="n"/>
    </row>
    <row r="92">
      <c r="A92" s="18" t="n"/>
      <c r="B92" s="17" t="n"/>
      <c r="C92" s="8">
        <f>IFERROR(VLOOKUP(B92,'צי הרחפנים'!$B$3:$C$52,2,FALSE),"")</f>
        <v/>
      </c>
      <c r="D92" s="17" t="n"/>
      <c r="E92" s="17" t="n"/>
      <c r="F92" s="17" t="n"/>
      <c r="G92" s="17" t="n"/>
    </row>
    <row r="93">
      <c r="A93" s="18" t="n"/>
      <c r="B93" s="17" t="n"/>
      <c r="C93" s="8">
        <f>IFERROR(VLOOKUP(B93,'צי הרחפנים'!$B$3:$C$52,2,FALSE),"")</f>
        <v/>
      </c>
      <c r="D93" s="17" t="n"/>
      <c r="E93" s="17" t="n"/>
      <c r="F93" s="17" t="n"/>
      <c r="G93" s="17" t="n"/>
    </row>
    <row r="94">
      <c r="A94" s="18" t="n"/>
      <c r="B94" s="17" t="n"/>
      <c r="C94" s="8">
        <f>IFERROR(VLOOKUP(B94,'צי הרחפנים'!$B$3:$C$52,2,FALSE),"")</f>
        <v/>
      </c>
      <c r="D94" s="17" t="n"/>
      <c r="E94" s="17" t="n"/>
      <c r="F94" s="17" t="n"/>
      <c r="G94" s="17" t="n"/>
    </row>
    <row r="95">
      <c r="A95" s="18" t="n"/>
      <c r="B95" s="17" t="n"/>
      <c r="C95" s="8">
        <f>IFERROR(VLOOKUP(B95,'צי הרחפנים'!$B$3:$C$52,2,FALSE),"")</f>
        <v/>
      </c>
      <c r="D95" s="17" t="n"/>
      <c r="E95" s="17" t="n"/>
      <c r="F95" s="17" t="n"/>
      <c r="G95" s="17" t="n"/>
    </row>
    <row r="96">
      <c r="A96" s="18" t="n"/>
      <c r="B96" s="17" t="n"/>
      <c r="C96" s="8">
        <f>IFERROR(VLOOKUP(B96,'צי הרחפנים'!$B$3:$C$52,2,FALSE),"")</f>
        <v/>
      </c>
      <c r="D96" s="17" t="n"/>
      <c r="E96" s="17" t="n"/>
      <c r="F96" s="17" t="n"/>
      <c r="G96" s="17" t="n"/>
    </row>
    <row r="97">
      <c r="A97" s="18" t="n"/>
      <c r="B97" s="17" t="n"/>
      <c r="C97" s="8">
        <f>IFERROR(VLOOKUP(B97,'צי הרחפנים'!$B$3:$C$52,2,FALSE),"")</f>
        <v/>
      </c>
      <c r="D97" s="17" t="n"/>
      <c r="E97" s="17" t="n"/>
      <c r="F97" s="17" t="n"/>
      <c r="G97" s="17" t="n"/>
    </row>
    <row r="98">
      <c r="A98" s="18" t="n"/>
      <c r="B98" s="17" t="n"/>
      <c r="C98" s="8">
        <f>IFERROR(VLOOKUP(B98,'צי הרחפנים'!$B$3:$C$52,2,FALSE),"")</f>
        <v/>
      </c>
      <c r="D98" s="17" t="n"/>
      <c r="E98" s="17" t="n"/>
      <c r="F98" s="17" t="n"/>
      <c r="G98" s="17" t="n"/>
    </row>
    <row r="99">
      <c r="A99" s="18" t="n"/>
      <c r="B99" s="17" t="n"/>
      <c r="C99" s="8">
        <f>IFERROR(VLOOKUP(B99,'צי הרחפנים'!$B$3:$C$52,2,FALSE),"")</f>
        <v/>
      </c>
      <c r="D99" s="17" t="n"/>
      <c r="E99" s="17" t="n"/>
      <c r="F99" s="17" t="n"/>
      <c r="G99" s="17" t="n"/>
    </row>
    <row r="100">
      <c r="A100" s="18" t="n"/>
      <c r="B100" s="17" t="n"/>
      <c r="C100" s="8">
        <f>IFERROR(VLOOKUP(B100,'צי הרחפנים'!$B$3:$C$52,2,FALSE),"")</f>
        <v/>
      </c>
      <c r="D100" s="17" t="n"/>
      <c r="E100" s="17" t="n"/>
      <c r="F100" s="17" t="n"/>
      <c r="G100" s="17" t="n"/>
    </row>
    <row r="101">
      <c r="A101" s="18" t="n"/>
      <c r="B101" s="17" t="n"/>
      <c r="C101" s="8">
        <f>IFERROR(VLOOKUP(B101,'צי הרחפנים'!$B$3:$C$52,2,FALSE),"")</f>
        <v/>
      </c>
      <c r="D101" s="17" t="n"/>
      <c r="E101" s="17" t="n"/>
      <c r="F101" s="17" t="n"/>
      <c r="G101" s="17" t="n"/>
    </row>
    <row r="102">
      <c r="A102" s="18" t="n"/>
      <c r="B102" s="17" t="n"/>
      <c r="C102" s="8">
        <f>IFERROR(VLOOKUP(B102,'צי הרחפנים'!$B$3:$C$52,2,FALSE),"")</f>
        <v/>
      </c>
      <c r="D102" s="17" t="n"/>
      <c r="E102" s="17" t="n"/>
      <c r="F102" s="17" t="n"/>
      <c r="G102" s="17" t="n"/>
    </row>
  </sheetData>
  <mergeCells count="1">
    <mergeCell ref="A1:G1"/>
  </mergeCells>
  <dataValidations count="3">
    <dataValidation sqref="B3:B102" showDropDown="0" showInputMessage="0" showErrorMessage="0" allowBlank="1" type="list">
      <formula1>='צי הרחפנים'!$B$3:$B$52</formula1>
    </dataValidation>
    <dataValidation sqref="D3:D102" showDropDown="0" showInputMessage="0" showErrorMessage="0" allowBlank="1" type="list">
      <formula1>"השאלה,החזרה"</formula1>
    </dataValidation>
    <dataValidation sqref="E3:E102" showDropDown="0" showInputMessage="0" showErrorMessage="0" allowBlank="1" type="list">
      <formula1>=חיילים!$A$3:$A$62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" customWidth="1" min="3" max="3"/>
    <col width="9" customWidth="1" min="4" max="4"/>
    <col width="9" customWidth="1" min="5" max="5"/>
  </cols>
  <sheetData>
    <row r="1" ht="26" customHeight="1">
      <c r="A1" s="1" t="inlineStr">
        <is>
          <t>תכולת ערכת EVO</t>
        </is>
      </c>
    </row>
    <row r="2">
      <c r="A2" s="5" t="inlineStr">
        <is>
          <t>#</t>
        </is>
      </c>
      <c r="B2" s="5" t="inlineStr">
        <is>
          <t>שם הפריט</t>
        </is>
      </c>
      <c r="C2" s="5" t="inlineStr">
        <is>
          <t>כמות</t>
        </is>
      </c>
      <c r="D2" s="5" t="inlineStr">
        <is>
          <t>פריט צ׳</t>
        </is>
      </c>
      <c r="E2" s="5" t="inlineStr">
        <is>
          <t>קיים?</t>
        </is>
      </c>
    </row>
    <row r="3">
      <c r="A3" s="8" t="n">
        <v>1</v>
      </c>
      <c r="B3" s="15" t="inlineStr">
        <is>
          <t>רחפן EVO + מגן גימבל + 4 פרופים 1136/1158</t>
        </is>
      </c>
      <c r="C3" s="8" t="n">
        <v>1</v>
      </c>
      <c r="D3" s="8" t="inlineStr">
        <is>
          <t>כן</t>
        </is>
      </c>
      <c r="E3" s="8" t="n"/>
    </row>
    <row r="4">
      <c r="A4" s="8" t="n">
        <v>2</v>
      </c>
      <c r="B4" s="15" t="inlineStr">
        <is>
          <t>שלט לרחפן + 2 אנטנות + 2 סטיקים</t>
        </is>
      </c>
      <c r="C4" s="8" t="n">
        <v>1</v>
      </c>
      <c r="D4" s="8" t="inlineStr">
        <is>
          <t>כן</t>
        </is>
      </c>
      <c r="E4" s="8" t="n"/>
    </row>
    <row r="5">
      <c r="A5" s="8" t="n">
        <v>3</v>
      </c>
      <c r="B5" s="15" t="inlineStr">
        <is>
          <t>סוללה לרחפן</t>
        </is>
      </c>
      <c r="C5" s="8" t="n">
        <v>1</v>
      </c>
      <c r="D5" s="8" t="inlineStr">
        <is>
          <t>לא</t>
        </is>
      </c>
      <c r="E5" s="8" t="n"/>
    </row>
    <row r="6">
      <c r="A6" s="8" t="n">
        <v>4</v>
      </c>
      <c r="B6" s="15" t="inlineStr">
        <is>
          <t>שנאי סוללה + כבל "שמינייה"</t>
        </is>
      </c>
      <c r="C6" s="8" t="n">
        <v>1</v>
      </c>
      <c r="D6" s="8" t="inlineStr">
        <is>
          <t>לא</t>
        </is>
      </c>
      <c r="E6" s="8" t="n"/>
    </row>
    <row r="7">
      <c r="A7" s="8" t="n">
        <v>5</v>
      </c>
      <c r="B7" s="15" t="inlineStr">
        <is>
          <t>ראש מטען קיר 65W</t>
        </is>
      </c>
      <c r="C7" s="8" t="n">
        <v>1</v>
      </c>
      <c r="D7" s="8" t="inlineStr">
        <is>
          <t>לא</t>
        </is>
      </c>
      <c r="E7" s="8" t="n"/>
    </row>
    <row r="8">
      <c r="A8" s="8" t="n">
        <v>6</v>
      </c>
      <c r="B8" s="15" t="inlineStr">
        <is>
          <t>כבל USB – TYPE C</t>
        </is>
      </c>
      <c r="C8" s="8" t="n">
        <v>1</v>
      </c>
      <c r="D8" s="8" t="inlineStr">
        <is>
          <t>לא</t>
        </is>
      </c>
      <c r="E8" s="8" t="n"/>
    </row>
    <row r="9">
      <c r="A9" s="8" t="n">
        <v>7</v>
      </c>
      <c r="B9" s="15" t="inlineStr">
        <is>
          <t>כבל TYPE C – TYPE C</t>
        </is>
      </c>
      <c r="C9" s="8" t="n">
        <v>1</v>
      </c>
      <c r="D9" s="8" t="inlineStr">
        <is>
          <t>לא</t>
        </is>
      </c>
      <c r="E9" s="8" t="n"/>
    </row>
    <row r="10">
      <c r="A10" s="8" t="n">
        <v>8</v>
      </c>
      <c r="B10" s="15" t="inlineStr">
        <is>
          <t>פרופים ספייר סדרה 1136/1158</t>
        </is>
      </c>
      <c r="C10" s="8" t="n">
        <v>1</v>
      </c>
      <c r="D10" s="8" t="inlineStr">
        <is>
          <t>לא</t>
        </is>
      </c>
      <c r="E10" s="8" t="n"/>
    </row>
    <row r="11">
      <c r="A11" s="8" t="n">
        <v>9</v>
      </c>
      <c r="B11" s="15" t="inlineStr">
        <is>
          <t>תיק פקל EVO ירוק 5 חלקים (תא מרכזי, תא צד סוללות, תא צד אחסון, רצועה, מחיצה)</t>
        </is>
      </c>
      <c r="C11" s="8" t="n">
        <v>1</v>
      </c>
      <c r="D11" s="8" t="inlineStr">
        <is>
          <t>כן</t>
        </is>
      </c>
      <c r="E11" s="8" t="n"/>
    </row>
    <row r="12">
      <c r="A12" s="8" t="n">
        <v>10</v>
      </c>
      <c r="B12" s="15" t="inlineStr">
        <is>
          <t>התקן הטלה כדור ברזל</t>
        </is>
      </c>
      <c r="C12" s="8" t="n">
        <v>1</v>
      </c>
      <c r="D12" s="8" t="inlineStr">
        <is>
          <t>כן</t>
        </is>
      </c>
      <c r="E12" s="8" t="n"/>
    </row>
    <row r="13">
      <c r="A13" s="8" t="n">
        <v>11</v>
      </c>
      <c r="B13" s="15" t="inlineStr">
        <is>
          <t>התקן הטלה כדור נוצה</t>
        </is>
      </c>
      <c r="C13" s="8" t="n">
        <v>1</v>
      </c>
      <c r="D13" s="8" t="inlineStr">
        <is>
          <t>כן</t>
        </is>
      </c>
      <c r="E13" s="8" t="n"/>
    </row>
    <row r="14">
      <c r="A14" s="8" t="n">
        <v>12</v>
      </c>
      <c r="B14" s="15" t="inlineStr">
        <is>
          <t>מטען רב ערוצי + כבל "שמינייה"</t>
        </is>
      </c>
      <c r="C14" s="8" t="n">
        <v>1</v>
      </c>
      <c r="D14" s="8" t="inlineStr">
        <is>
          <t>לא</t>
        </is>
      </c>
      <c r="E14" s="8" t="n"/>
    </row>
    <row r="15">
      <c r="A15" s="8" t="n">
        <v>13</v>
      </c>
      <c r="B15" s="15" t="inlineStr">
        <is>
          <t>אנטנה מגדיל טווח + זוג מתאמים לשלט</t>
        </is>
      </c>
      <c r="C15" s="8" t="n">
        <v>1</v>
      </c>
      <c r="D15" s="8" t="inlineStr">
        <is>
          <t>כן</t>
        </is>
      </c>
      <c r="E15" s="8" t="n"/>
    </row>
    <row r="16">
      <c r="A16" s="8" t="n">
        <v>14</v>
      </c>
      <c r="B16" s="15" t="inlineStr">
        <is>
          <t>חצובה לאנטנה מגדיל טווח</t>
        </is>
      </c>
      <c r="C16" s="8" t="n">
        <v>1</v>
      </c>
      <c r="D16" s="8" t="inlineStr">
        <is>
          <t>לא</t>
        </is>
      </c>
      <c r="E16" s="8" t="n"/>
    </row>
    <row r="17">
      <c r="A17" s="8" t="n">
        <v>15</v>
      </c>
      <c r="B17" s="15" t="inlineStr">
        <is>
          <t>כבל מאריך 20 מטר לאנטנה מגדיל טווח</t>
        </is>
      </c>
      <c r="C17" s="8" t="n">
        <v>1</v>
      </c>
      <c r="D17" s="8" t="inlineStr">
        <is>
          <t>לא</t>
        </is>
      </c>
      <c r="E17" s="8" t="n"/>
    </row>
    <row r="18">
      <c r="A18" s="8" t="n">
        <v>16</v>
      </c>
      <c r="B18" s="15" t="inlineStr">
        <is>
          <t>ערכת טעינה לשטח (תיק, כבלי 12V, מטען רכב 200/240W, כבלי C-C, USB-C 7A, מתאם עם צג מתח)</t>
        </is>
      </c>
      <c r="C18" s="8" t="n">
        <v>1</v>
      </c>
      <c r="D18" s="8" t="inlineStr">
        <is>
          <t>כן</t>
        </is>
      </c>
      <c r="E18" s="8" t="n"/>
    </row>
    <row r="19">
      <c r="B19" s="19" t="inlineStr">
        <is>
          <t>סה"כ פריטים:</t>
        </is>
      </c>
      <c r="C19" s="20">
        <f>COUNTA(B3:B18)</f>
        <v/>
      </c>
    </row>
    <row r="20">
      <c r="B20" s="19" t="inlineStr">
        <is>
          <t>מתוכם פריטי צ׳:</t>
        </is>
      </c>
      <c r="C20" s="20">
        <f>COUNTIF(D3:D18,"כן")</f>
        <v/>
      </c>
    </row>
    <row r="21">
      <c r="B21" s="19" t="inlineStr">
        <is>
          <t>פריטים חסרים:</t>
        </is>
      </c>
      <c r="C21" s="20">
        <f>COUNTIF(E3:E18,"לא")</f>
        <v/>
      </c>
    </row>
  </sheetData>
  <mergeCells count="1">
    <mergeCell ref="A1:E1"/>
  </mergeCells>
  <conditionalFormatting sqref="E3:E18">
    <cfRule type="cellIs" priority="1" operator="equal" dxfId="1">
      <formula>"כן"</formula>
    </cfRule>
    <cfRule type="cellIs" priority="2" operator="equal" dxfId="0">
      <formula>"לא"</formula>
    </cfRule>
  </conditionalFormatting>
  <conditionalFormatting sqref="D3:D18">
    <cfRule type="cellIs" priority="3" operator="equal" dxfId="2">
      <formula>"כן"</formula>
    </cfRule>
  </conditionalFormatting>
  <conditionalFormatting sqref="C21">
    <cfRule type="cellIs" priority="4" operator="greaterThan" dxfId="0">
      <formula>0</formula>
    </cfRule>
  </conditionalFormatting>
  <dataValidations count="1">
    <dataValidation sqref="E3:E18" showDropDown="0" showInputMessage="0" showErrorMessage="0" allowBlank="1" type="list">
      <formula1>"כן,לא"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8" customWidth="1" min="3" max="3"/>
    <col width="9" customWidth="1" min="4" max="4"/>
    <col width="9" customWidth="1" min="5" max="5"/>
  </cols>
  <sheetData>
    <row r="1" ht="26" customHeight="1">
      <c r="A1" s="1" t="inlineStr">
        <is>
          <t>תכולת ערכת AVATA</t>
        </is>
      </c>
    </row>
    <row r="2">
      <c r="A2" s="5" t="inlineStr">
        <is>
          <t>#</t>
        </is>
      </c>
      <c r="B2" s="5" t="inlineStr">
        <is>
          <t>שם הפריט</t>
        </is>
      </c>
      <c r="C2" s="5" t="inlineStr">
        <is>
          <t>כמות</t>
        </is>
      </c>
      <c r="D2" s="5" t="inlineStr">
        <is>
          <t>פריט צ׳</t>
        </is>
      </c>
      <c r="E2" s="5" t="inlineStr">
        <is>
          <t>קיים?</t>
        </is>
      </c>
    </row>
    <row r="3">
      <c r="A3" s="8" t="n">
        <v>1</v>
      </c>
      <c r="B3" s="15" t="inlineStr">
        <is>
          <t>תיק ירך 2 חלקים – רצועות חגורה + רצועת נשיאה + קייס למשקף + פאוץ' צג מפקד</t>
        </is>
      </c>
      <c r="C3" s="8" t="n">
        <v>1</v>
      </c>
      <c r="D3" s="8" t="inlineStr">
        <is>
          <t>כן</t>
        </is>
      </c>
      <c r="E3" s="8" t="n"/>
    </row>
    <row r="4">
      <c r="A4" s="8" t="n">
        <v>2</v>
      </c>
      <c r="B4" s="15" t="inlineStr">
        <is>
          <t>רחפן AVATA + מגן גימבל + 4 פרופים</t>
        </is>
      </c>
      <c r="C4" s="8" t="n">
        <v>1</v>
      </c>
      <c r="D4" s="8" t="inlineStr">
        <is>
          <t>כן</t>
        </is>
      </c>
      <c r="E4" s="8" t="n"/>
    </row>
    <row r="5">
      <c r="A5" s="8" t="n">
        <v>3</v>
      </c>
      <c r="B5" s="15" t="inlineStr">
        <is>
          <t>ג'ויסטיק + רצועה</t>
        </is>
      </c>
      <c r="C5" s="8" t="n">
        <v>1</v>
      </c>
      <c r="D5" s="8" t="inlineStr">
        <is>
          <t>כן</t>
        </is>
      </c>
      <c r="E5" s="8" t="n"/>
    </row>
    <row r="6">
      <c r="A6" s="8" t="n">
        <v>4</v>
      </c>
      <c r="B6" s="15" t="inlineStr">
        <is>
          <t>משקף אינטגרה</t>
        </is>
      </c>
      <c r="C6" s="8" t="n">
        <v>1</v>
      </c>
      <c r="D6" s="8" t="inlineStr">
        <is>
          <t>כן</t>
        </is>
      </c>
      <c r="E6" s="8" t="n"/>
    </row>
    <row r="7">
      <c r="A7" s="8" t="n">
        <v>5</v>
      </c>
      <c r="B7" s="15" t="inlineStr">
        <is>
          <t>משקף גוגלס 2 – רצועת ראש + מגן עדשות + כבל סוללה + סוללה למשקף</t>
        </is>
      </c>
      <c r="C7" s="8" t="n">
        <v>1</v>
      </c>
      <c r="D7" s="8" t="inlineStr">
        <is>
          <t>כן</t>
        </is>
      </c>
      <c r="E7" s="8" t="n"/>
    </row>
    <row r="8">
      <c r="A8" s="8" t="n">
        <v>6</v>
      </c>
      <c r="B8" s="15" t="inlineStr">
        <is>
          <t>כרטיס זיכרון למשקף 128GB אקסטרים</t>
        </is>
      </c>
      <c r="C8" s="8" t="n">
        <v>1</v>
      </c>
      <c r="D8" s="8" t="inlineStr">
        <is>
          <t>לא</t>
        </is>
      </c>
      <c r="E8" s="8" t="n"/>
    </row>
    <row r="9">
      <c r="A9" s="8" t="n">
        <v>7</v>
      </c>
      <c r="B9" s="15" t="inlineStr">
        <is>
          <t>סוללה לרחפן</t>
        </is>
      </c>
      <c r="C9" s="8" t="n">
        <v>1</v>
      </c>
      <c r="D9" s="8" t="inlineStr">
        <is>
          <t>לא</t>
        </is>
      </c>
      <c r="E9" s="8" t="n"/>
    </row>
    <row r="10">
      <c r="A10" s="8" t="n">
        <v>8</v>
      </c>
      <c r="B10" s="15" t="inlineStr">
        <is>
          <t>מטען סוללת רחפן יחיד</t>
        </is>
      </c>
      <c r="C10" s="8" t="n">
        <v>1</v>
      </c>
      <c r="D10" s="8" t="inlineStr">
        <is>
          <t>לא</t>
        </is>
      </c>
      <c r="E10" s="8" t="n"/>
    </row>
    <row r="11">
      <c r="A11" s="8" t="n">
        <v>9</v>
      </c>
      <c r="B11" s="15" t="inlineStr">
        <is>
          <t>רכזת טעינה (4 סוללות) לרחפן</t>
        </is>
      </c>
      <c r="C11" s="8" t="n">
        <v>1</v>
      </c>
      <c r="D11" s="8" t="inlineStr">
        <is>
          <t>לא</t>
        </is>
      </c>
      <c r="E11" s="8" t="n"/>
    </row>
    <row r="12">
      <c r="A12" s="8" t="n">
        <v>10</v>
      </c>
      <c r="B12" s="15" t="inlineStr">
        <is>
          <t>ראש מטען קיר</t>
        </is>
      </c>
      <c r="C12" s="8" t="n">
        <v>1</v>
      </c>
      <c r="D12" s="8" t="inlineStr">
        <is>
          <t>לא</t>
        </is>
      </c>
      <c r="E12" s="8" t="n"/>
    </row>
    <row r="13">
      <c r="A13" s="8" t="n">
        <v>11</v>
      </c>
      <c r="B13" s="15" t="inlineStr">
        <is>
          <t>כבל USB – TYPE C</t>
        </is>
      </c>
      <c r="C13" s="8" t="n">
        <v>1</v>
      </c>
      <c r="D13" s="8" t="inlineStr">
        <is>
          <t>לא</t>
        </is>
      </c>
      <c r="E13" s="8" t="n"/>
    </row>
    <row r="14">
      <c r="A14" s="8" t="n">
        <v>12</v>
      </c>
      <c r="B14" s="15" t="inlineStr">
        <is>
          <t>כבל TYPE C – TYPE C</t>
        </is>
      </c>
      <c r="C14" s="8" t="n">
        <v>1</v>
      </c>
      <c r="D14" s="8" t="inlineStr">
        <is>
          <t>לא</t>
        </is>
      </c>
      <c r="E14" s="8" t="n"/>
    </row>
    <row r="15">
      <c r="A15" s="8" t="n">
        <v>13</v>
      </c>
      <c r="B15" s="15" t="inlineStr">
        <is>
          <t>צג מפקד (סמארטפון)</t>
        </is>
      </c>
      <c r="C15" s="8" t="n">
        <v>1</v>
      </c>
      <c r="D15" s="8" t="inlineStr">
        <is>
          <t>כן</t>
        </is>
      </c>
      <c r="E15" s="8" t="n"/>
    </row>
    <row r="16">
      <c r="A16" s="8" t="n">
        <v>14</v>
      </c>
      <c r="B16" s="15" t="inlineStr">
        <is>
          <t>זוג פרופים ספייר</t>
        </is>
      </c>
      <c r="C16" s="8" t="n">
        <v>1</v>
      </c>
      <c r="D16" s="8" t="inlineStr">
        <is>
          <t>לא</t>
        </is>
      </c>
      <c r="E16" s="8" t="n"/>
    </row>
    <row r="17">
      <c r="A17" s="8" t="n">
        <v>15</v>
      </c>
      <c r="B17" s="15" t="inlineStr">
        <is>
          <t>ערכת תאורה A – 4 פנסים, תושבת מרכזית כפולה, תושבת L, תושבת R</t>
        </is>
      </c>
      <c r="C17" s="8" t="n">
        <v>1</v>
      </c>
      <c r="D17" s="8" t="inlineStr">
        <is>
          <t>לא</t>
        </is>
      </c>
      <c r="E17" s="8" t="n"/>
    </row>
    <row r="18">
      <c r="A18" s="8" t="n">
        <v>16</v>
      </c>
      <c r="B18" s="15" t="inlineStr">
        <is>
          <t>ערכת תאורה B – 2 פנסים כפולים, תושבת מרכזית + תושבת צד</t>
        </is>
      </c>
      <c r="C18" s="8" t="n">
        <v>1</v>
      </c>
      <c r="D18" s="8" t="inlineStr">
        <is>
          <t>לא</t>
        </is>
      </c>
      <c r="E18" s="8" t="n"/>
    </row>
    <row r="19">
      <c r="B19" s="19" t="inlineStr">
        <is>
          <t>סה"כ פריטים:</t>
        </is>
      </c>
      <c r="C19" s="20">
        <f>COUNTA(B3:B18)</f>
        <v/>
      </c>
    </row>
    <row r="20">
      <c r="B20" s="19" t="inlineStr">
        <is>
          <t>מתוכם פריטי צ׳:</t>
        </is>
      </c>
      <c r="C20" s="20">
        <f>COUNTIF(D3:D18,"כן")</f>
        <v/>
      </c>
    </row>
    <row r="21">
      <c r="B21" s="19" t="inlineStr">
        <is>
          <t>פריטים חסרים:</t>
        </is>
      </c>
      <c r="C21" s="20">
        <f>COUNTIF(E3:E18,"לא")</f>
        <v/>
      </c>
    </row>
  </sheetData>
  <mergeCells count="1">
    <mergeCell ref="A1:E1"/>
  </mergeCells>
  <conditionalFormatting sqref="E3:E18">
    <cfRule type="cellIs" priority="1" operator="equal" dxfId="1">
      <formula>"כן"</formula>
    </cfRule>
    <cfRule type="cellIs" priority="2" operator="equal" dxfId="0">
      <formula>"לא"</formula>
    </cfRule>
  </conditionalFormatting>
  <conditionalFormatting sqref="D3:D18">
    <cfRule type="cellIs" priority="3" operator="equal" dxfId="2">
      <formula>"כן"</formula>
    </cfRule>
  </conditionalFormatting>
  <conditionalFormatting sqref="C21">
    <cfRule type="cellIs" priority="4" operator="greaterThan" dxfId="0">
      <formula>0</formula>
    </cfRule>
  </conditionalFormatting>
  <dataValidations count="1">
    <dataValidation sqref="E3:E18" showDropDown="0" showInputMessage="0" showErrorMessage="0" allowBlank="1" type="list">
      <formula1>"כן,לא"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</cols>
  <sheetData>
    <row r="1" ht="26" customHeight="1">
      <c r="A1" s="1" t="inlineStr">
        <is>
          <t>חיילים</t>
        </is>
      </c>
    </row>
    <row r="2">
      <c r="A2" s="5" t="inlineStr">
        <is>
          <t>שם</t>
        </is>
      </c>
      <c r="B2" s="5" t="inlineStr">
        <is>
          <t>פלאפון</t>
        </is>
      </c>
      <c r="C2" s="5" t="inlineStr">
        <is>
          <t>הערות</t>
        </is>
      </c>
    </row>
    <row r="3">
      <c r="A3" s="15" t="inlineStr">
        <is>
          <t>דוד כהן</t>
        </is>
      </c>
      <c r="B3" s="17" t="n"/>
      <c r="C3" s="17" t="n"/>
    </row>
    <row r="4">
      <c r="A4" s="15" t="inlineStr">
        <is>
          <t>מאור לוי</t>
        </is>
      </c>
      <c r="B4" s="17" t="n"/>
      <c r="C4" s="17" t="n"/>
    </row>
    <row r="5">
      <c r="A5" s="15" t="inlineStr">
        <is>
          <t>יוסי בר</t>
        </is>
      </c>
      <c r="B5" s="17" t="n"/>
      <c r="C5" s="17" t="n"/>
    </row>
    <row r="6">
      <c r="A6" s="15" t="inlineStr">
        <is>
          <t>איתי שמש</t>
        </is>
      </c>
      <c r="B6" s="17" t="n"/>
      <c r="C6" s="17" t="n"/>
    </row>
    <row r="7">
      <c r="A7" s="15" t="inlineStr">
        <is>
          <t>ניב סורוקר</t>
        </is>
      </c>
      <c r="B7" s="17" t="n"/>
      <c r="C7" s="17" t="n"/>
    </row>
    <row r="8">
      <c r="A8" s="15" t="inlineStr">
        <is>
          <t>אורי עוזיאל</t>
        </is>
      </c>
      <c r="B8" s="17" t="n"/>
      <c r="C8" s="17" t="n"/>
    </row>
    <row r="9">
      <c r="A9" s="15" t="inlineStr">
        <is>
          <t>גבריאל יעקוביאן</t>
        </is>
      </c>
      <c r="B9" s="17" t="n"/>
      <c r="C9" s="17" t="n"/>
    </row>
    <row r="10">
      <c r="A10" s="15" t="inlineStr">
        <is>
          <t>עומר נוימן</t>
        </is>
      </c>
      <c r="B10" s="17" t="n"/>
      <c r="C10" s="17" t="n"/>
    </row>
    <row r="11">
      <c r="A11" s="17" t="n"/>
      <c r="B11" s="17" t="n"/>
      <c r="C11" s="17" t="n"/>
    </row>
    <row r="12">
      <c r="A12" s="17" t="n"/>
      <c r="B12" s="17" t="n"/>
      <c r="C12" s="17" t="n"/>
    </row>
    <row r="13">
      <c r="A13" s="17" t="n"/>
      <c r="B13" s="17" t="n"/>
      <c r="C13" s="17" t="n"/>
    </row>
    <row r="14">
      <c r="A14" s="17" t="n"/>
      <c r="B14" s="17" t="n"/>
      <c r="C14" s="17" t="n"/>
    </row>
    <row r="15">
      <c r="A15" s="17" t="n"/>
      <c r="B15" s="17" t="n"/>
      <c r="C15" s="17" t="n"/>
    </row>
    <row r="16">
      <c r="A16" s="17" t="n"/>
      <c r="B16" s="17" t="n"/>
      <c r="C16" s="17" t="n"/>
    </row>
    <row r="17">
      <c r="A17" s="17" t="n"/>
      <c r="B17" s="17" t="n"/>
      <c r="C17" s="17" t="n"/>
    </row>
    <row r="18">
      <c r="A18" s="17" t="n"/>
      <c r="B18" s="17" t="n"/>
      <c r="C18" s="17" t="n"/>
    </row>
    <row r="19">
      <c r="A19" s="17" t="n"/>
      <c r="B19" s="17" t="n"/>
      <c r="C19" s="17" t="n"/>
    </row>
    <row r="20">
      <c r="A20" s="17" t="n"/>
      <c r="B20" s="17" t="n"/>
      <c r="C20" s="17" t="n"/>
    </row>
    <row r="21">
      <c r="A21" s="17" t="n"/>
      <c r="B21" s="17" t="n"/>
      <c r="C21" s="17" t="n"/>
    </row>
    <row r="22">
      <c r="A22" s="17" t="n"/>
      <c r="B22" s="17" t="n"/>
      <c r="C22" s="17" t="n"/>
    </row>
    <row r="23">
      <c r="A23" s="17" t="n"/>
      <c r="B23" s="17" t="n"/>
      <c r="C23" s="17" t="n"/>
    </row>
    <row r="24">
      <c r="A24" s="17" t="n"/>
      <c r="B24" s="17" t="n"/>
      <c r="C24" s="17" t="n"/>
    </row>
    <row r="25">
      <c r="A25" s="17" t="n"/>
      <c r="B25" s="17" t="n"/>
      <c r="C25" s="17" t="n"/>
    </row>
    <row r="26">
      <c r="A26" s="17" t="n"/>
      <c r="B26" s="17" t="n"/>
      <c r="C26" s="17" t="n"/>
    </row>
    <row r="27">
      <c r="A27" s="17" t="n"/>
      <c r="B27" s="17" t="n"/>
      <c r="C27" s="17" t="n"/>
    </row>
    <row r="28">
      <c r="A28" s="17" t="n"/>
      <c r="B28" s="17" t="n"/>
      <c r="C28" s="17" t="n"/>
    </row>
    <row r="29">
      <c r="A29" s="17" t="n"/>
      <c r="B29" s="17" t="n"/>
      <c r="C29" s="17" t="n"/>
    </row>
    <row r="30">
      <c r="A30" s="17" t="n"/>
      <c r="B30" s="17" t="n"/>
      <c r="C30" s="17" t="n"/>
    </row>
    <row r="31">
      <c r="A31" s="17" t="n"/>
      <c r="B31" s="17" t="n"/>
      <c r="C31" s="17" t="n"/>
    </row>
    <row r="32">
      <c r="A32" s="17" t="n"/>
      <c r="B32" s="17" t="n"/>
      <c r="C32" s="17" t="n"/>
    </row>
    <row r="33">
      <c r="A33" s="17" t="n"/>
      <c r="B33" s="17" t="n"/>
      <c r="C33" s="17" t="n"/>
    </row>
    <row r="34">
      <c r="A34" s="17" t="n"/>
      <c r="B34" s="17" t="n"/>
      <c r="C34" s="17" t="n"/>
    </row>
    <row r="35">
      <c r="A35" s="17" t="n"/>
      <c r="B35" s="17" t="n"/>
      <c r="C35" s="17" t="n"/>
    </row>
    <row r="36">
      <c r="A36" s="17" t="n"/>
      <c r="B36" s="17" t="n"/>
      <c r="C36" s="17" t="n"/>
    </row>
    <row r="37">
      <c r="A37" s="17" t="n"/>
      <c r="B37" s="17" t="n"/>
      <c r="C37" s="17" t="n"/>
    </row>
    <row r="38">
      <c r="A38" s="17" t="n"/>
      <c r="B38" s="17" t="n"/>
      <c r="C38" s="17" t="n"/>
    </row>
    <row r="39">
      <c r="A39" s="17" t="n"/>
      <c r="B39" s="17" t="n"/>
      <c r="C39" s="17" t="n"/>
    </row>
    <row r="40">
      <c r="A40" s="17" t="n"/>
      <c r="B40" s="17" t="n"/>
      <c r="C40" s="17" t="n"/>
    </row>
    <row r="41">
      <c r="A41" s="17" t="n"/>
      <c r="B41" s="17" t="n"/>
      <c r="C41" s="17" t="n"/>
    </row>
    <row r="42">
      <c r="A42" s="17" t="n"/>
      <c r="B42" s="17" t="n"/>
      <c r="C42" s="17" t="n"/>
    </row>
    <row r="43">
      <c r="A43" s="17" t="n"/>
      <c r="B43" s="17" t="n"/>
      <c r="C43" s="17" t="n"/>
    </row>
    <row r="44">
      <c r="A44" s="17" t="n"/>
      <c r="B44" s="17" t="n"/>
      <c r="C44" s="17" t="n"/>
    </row>
    <row r="45">
      <c r="A45" s="17" t="n"/>
      <c r="B45" s="17" t="n"/>
      <c r="C45" s="17" t="n"/>
    </row>
    <row r="46">
      <c r="A46" s="17" t="n"/>
      <c r="B46" s="17" t="n"/>
      <c r="C46" s="17" t="n"/>
    </row>
    <row r="47">
      <c r="A47" s="17" t="n"/>
      <c r="B47" s="17" t="n"/>
      <c r="C47" s="17" t="n"/>
    </row>
    <row r="48">
      <c r="A48" s="17" t="n"/>
      <c r="B48" s="17" t="n"/>
      <c r="C48" s="17" t="n"/>
    </row>
    <row r="49">
      <c r="A49" s="17" t="n"/>
      <c r="B49" s="17" t="n"/>
      <c r="C49" s="17" t="n"/>
    </row>
    <row r="50">
      <c r="A50" s="17" t="n"/>
      <c r="B50" s="17" t="n"/>
      <c r="C50" s="17" t="n"/>
    </row>
    <row r="51">
      <c r="A51" s="17" t="n"/>
      <c r="B51" s="17" t="n"/>
      <c r="C51" s="17" t="n"/>
    </row>
    <row r="52">
      <c r="A52" s="17" t="n"/>
      <c r="B52" s="17" t="n"/>
      <c r="C52" s="17" t="n"/>
    </row>
    <row r="53">
      <c r="A53" s="17" t="n"/>
      <c r="B53" s="17" t="n"/>
      <c r="C53" s="17" t="n"/>
    </row>
    <row r="54">
      <c r="A54" s="17" t="n"/>
      <c r="B54" s="17" t="n"/>
      <c r="C54" s="17" t="n"/>
    </row>
    <row r="55">
      <c r="A55" s="17" t="n"/>
      <c r="B55" s="17" t="n"/>
      <c r="C55" s="17" t="n"/>
    </row>
    <row r="56">
      <c r="A56" s="17" t="n"/>
      <c r="B56" s="17" t="n"/>
      <c r="C56" s="17" t="n"/>
    </row>
    <row r="57">
      <c r="A57" s="17" t="n"/>
      <c r="B57" s="17" t="n"/>
      <c r="C57" s="17" t="n"/>
    </row>
    <row r="58">
      <c r="A58" s="17" t="n"/>
      <c r="B58" s="17" t="n"/>
      <c r="C58" s="17" t="n"/>
    </row>
    <row r="59">
      <c r="A59" s="17" t="n"/>
      <c r="B59" s="17" t="n"/>
      <c r="C59" s="17" t="n"/>
    </row>
    <row r="60">
      <c r="A60" s="17" t="n"/>
      <c r="B60" s="17" t="n"/>
      <c r="C60" s="17" t="n"/>
    </row>
    <row r="61">
      <c r="A61" s="17" t="n"/>
      <c r="B61" s="17" t="n"/>
      <c r="C61" s="17" t="n"/>
    </row>
    <row r="62">
      <c r="A62" s="17" t="n"/>
      <c r="B62" s="17" t="n"/>
      <c r="C62" s="17" t="n"/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</cols>
  <sheetData>
    <row r="1" ht="26" customHeight="1">
      <c r="A1" s="1" t="inlineStr">
        <is>
          <t>מקרא והגדרות</t>
        </is>
      </c>
    </row>
    <row r="3">
      <c r="A3" s="13" t="inlineStr">
        <is>
          <t>סטטוס רחפן:</t>
        </is>
      </c>
    </row>
    <row r="4">
      <c r="A4" s="21" t="n"/>
      <c r="B4" t="inlineStr">
        <is>
          <t>במחסן</t>
        </is>
      </c>
    </row>
    <row r="5">
      <c r="A5" s="22" t="n"/>
      <c r="B5" t="inlineStr">
        <is>
          <t>הושאל</t>
        </is>
      </c>
    </row>
    <row r="6">
      <c r="A6" s="23" t="n"/>
      <c r="B6" t="inlineStr">
        <is>
          <t>בתיקון</t>
        </is>
      </c>
    </row>
    <row r="7">
      <c r="A7" s="24" t="n"/>
      <c r="B7" t="inlineStr">
        <is>
          <t>מושבת</t>
        </is>
      </c>
    </row>
    <row r="9">
      <c r="A9" s="13" t="inlineStr">
        <is>
          <t>מצב:</t>
        </is>
      </c>
    </row>
    <row r="10">
      <c r="A10" s="21" t="n"/>
      <c r="B10" t="inlineStr">
        <is>
          <t>תקין</t>
        </is>
      </c>
    </row>
    <row r="11">
      <c r="A11" s="24" t="n"/>
      <c r="B11" t="inlineStr">
        <is>
          <t>תקול</t>
        </is>
      </c>
    </row>
    <row r="12">
      <c r="A12" s="5" t="inlineStr">
        <is>
          <t>סוג</t>
        </is>
      </c>
      <c r="B12" s="5" t="inlineStr">
        <is>
          <t>סה"כ פריטים</t>
        </is>
      </c>
      <c r="C12" s="5" t="inlineStr">
        <is>
          <t>פריטי צ׳</t>
        </is>
      </c>
    </row>
    <row r="13">
      <c r="A13" s="8" t="inlineStr">
        <is>
          <t>EVO</t>
        </is>
      </c>
      <c r="B13" s="8">
        <f>COUNTA('תכולת ערכת EVO'!$B$3:$B$18)</f>
        <v/>
      </c>
      <c r="C13" s="8">
        <f>COUNTIF('תכולת ערכת EVO'!$D$3:$D$18,"כן")</f>
        <v/>
      </c>
    </row>
    <row r="14">
      <c r="A14" s="8" t="inlineStr">
        <is>
          <t>AVATA</t>
        </is>
      </c>
      <c r="B14" s="8">
        <f>COUNTA('תכולת ערכת AVATA'!$B$3:$B$18)</f>
        <v/>
      </c>
      <c r="C14" s="8">
        <f>COUNTIF('תכולת ערכת AVATA'!$D$3:$D$18,"כן")</f>
        <v/>
      </c>
    </row>
    <row r="16">
      <c r="A16" s="13" t="inlineStr">
        <is>
          <t>הוראות:</t>
        </is>
      </c>
    </row>
    <row r="17">
      <c r="A17" s="25" t="inlineStr">
        <is>
          <t>• כל רחפן = שורה בגיליון 'צי הרחפנים'.</t>
        </is>
      </c>
    </row>
    <row r="18">
      <c r="A18" s="25" t="inlineStr">
        <is>
          <t>• בעת השאלה: עדכן סטטוס='הושאל', מחזיק ותאריכים, והוסף שורה ל'יומן השאלות'.</t>
        </is>
      </c>
    </row>
    <row r="19">
      <c r="A19" s="25" t="inlineStr">
        <is>
          <t>• 'פריטי צ׳ נדרשים' מתעדכן אוטומטית לפי הסוג (מטבלת הסוגים כאן).</t>
        </is>
      </c>
    </row>
    <row r="20">
      <c r="A20" s="25" t="inlineStr">
        <is>
          <t>• הדשבורד ('סקירה') מתעדכן לבד מהצי.</t>
        </is>
      </c>
    </row>
    <row r="21">
      <c r="A21" s="25" t="inlineStr">
        <is>
          <t>• לספירת ערכה: סמן 'קיים?' בגיליון התכולה - החוסרים נספרים אוטומטית.</t>
        </is>
      </c>
    </row>
  </sheetData>
  <mergeCells count="6">
    <mergeCell ref="A1:D1"/>
    <mergeCell ref="A17:D17"/>
    <mergeCell ref="A18:D18"/>
    <mergeCell ref="A20:D20"/>
    <mergeCell ref="A21:D21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2026-05-27T18:48:50Z</dcterms:created>
  <dcterms:modified xsi:type="dcterms:W3CDTF">2026-05-27T18:48:50Z</dcterms:modified>
</cp:coreProperties>
</file>