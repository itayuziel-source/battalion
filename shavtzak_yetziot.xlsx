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שבצק יציאות" sheetId="1" state="visible" r:id="rId1"/>
    <sheet name="מקרא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  <sz val="11"/>
    </font>
    <font>
      <b val="1"/>
      <sz val="11"/>
    </font>
    <font>
      <sz val="11"/>
    </font>
    <font>
      <b val="1"/>
      <sz val="13"/>
    </font>
  </fonts>
  <fills count="13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FFC000"/>
      </patternFill>
    </fill>
    <fill>
      <patternFill patternType="solid">
        <fgColor rgb="00BDD7EE"/>
      </patternFill>
    </fill>
    <fill>
      <patternFill patternType="solid">
        <fgColor rgb="00C6EFCE"/>
      </patternFill>
    </fill>
    <fill>
      <patternFill patternType="solid">
        <fgColor rgb="00A9D08E"/>
      </patternFill>
    </fill>
    <fill>
      <patternFill patternType="solid">
        <fgColor rgb="00FFC7CE"/>
      </patternFill>
    </fill>
    <fill>
      <patternFill patternType="solid">
        <fgColor rgb="00B4A7D6"/>
      </patternFill>
    </fill>
    <fill>
      <patternFill patternType="solid">
        <fgColor rgb="00F8CBAD"/>
      </patternFill>
    </fill>
    <fill>
      <patternFill patternType="solid">
        <fgColor rgb="00FF5050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0" fillId="0" borderId="0" applyAlignment="1" pivotButton="0" quotePrefix="0" xfId="0">
      <alignment horizontal="right" vertical="center"/>
    </xf>
    <xf numFmtId="0" fontId="5" fillId="0" borderId="0" pivotButton="0" quotePrefix="0" xfId="0"/>
    <xf numFmtId="0" fontId="0" fillId="4" borderId="1" pivotButton="0" quotePrefix="0" xfId="0"/>
    <xf numFmtId="0" fontId="4" fillId="0" borderId="0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0" fillId="12" borderId="1" pivotButton="0" quotePrefix="0" xfId="0"/>
  </cellXfs>
  <cellStyles count="1">
    <cellStyle name="Normal" xfId="0" builtinId="0" hidden="0"/>
  </cellStyles>
  <dxfs count="7">
    <dxf>
      <font>
        <b val="1"/>
        <color rgb="00FFFFFF"/>
      </font>
      <fill>
        <patternFill patternType="solid">
          <fgColor rgb="00FF5050"/>
        </patternFill>
      </fill>
    </dxf>
    <dxf>
      <fill>
        <patternFill patternType="solid">
          <fgColor rgb="00BDD7E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A9D08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B4A7D6"/>
        </patternFill>
      </fill>
    </dxf>
    <dxf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B35"/>
  <sheetViews>
    <sheetView rightToLeft="1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  <col width="5" customWidth="1" min="35" max="35"/>
    <col width="5" customWidth="1" min="36" max="36"/>
    <col width="5" customWidth="1" min="37" max="37"/>
    <col width="5" customWidth="1" min="38" max="38"/>
    <col width="5" customWidth="1" min="39" max="39"/>
    <col width="5" customWidth="1" min="40" max="40"/>
    <col width="5" customWidth="1" min="41" max="41"/>
    <col width="5" customWidth="1" min="42" max="42"/>
    <col width="5" customWidth="1" min="43" max="43"/>
    <col width="5" customWidth="1" min="44" max="44"/>
    <col width="5" customWidth="1" min="45" max="45"/>
    <col width="5" customWidth="1" min="46" max="46"/>
    <col width="5" customWidth="1" min="47" max="47"/>
    <col width="5" customWidth="1" min="48" max="48"/>
    <col width="5" customWidth="1" min="49" max="49"/>
    <col width="5" customWidth="1" min="50" max="50"/>
    <col width="5" customWidth="1" min="51" max="51"/>
    <col width="5" customWidth="1" min="52" max="52"/>
    <col width="5" customWidth="1" min="53" max="53"/>
    <col width="5" customWidth="1" min="54" max="54"/>
    <col width="5" customWidth="1" min="55" max="55"/>
    <col width="5" customWidth="1" min="56" max="56"/>
    <col width="5" customWidth="1" min="57" max="57"/>
    <col width="5" customWidth="1" min="58" max="58"/>
    <col width="5" customWidth="1" min="59" max="59"/>
    <col width="5" customWidth="1" min="60" max="60"/>
    <col width="5" customWidth="1" min="61" max="61"/>
    <col width="5" customWidth="1" min="62" max="62"/>
    <col width="5" customWidth="1" min="63" max="63"/>
    <col width="5" customWidth="1" min="64" max="64"/>
    <col width="5" customWidth="1" min="65" max="65"/>
    <col width="5" customWidth="1" min="66" max="66"/>
    <col width="5" customWidth="1" min="67" max="67"/>
    <col width="5" customWidth="1" min="68" max="68"/>
    <col width="5" customWidth="1" min="69" max="69"/>
    <col width="5" customWidth="1" min="70" max="70"/>
    <col width="5" customWidth="1" min="71" max="71"/>
    <col width="5" customWidth="1" min="72" max="72"/>
    <col width="5" customWidth="1" min="73" max="73"/>
    <col width="5" customWidth="1" min="74" max="74"/>
    <col width="5" customWidth="1" min="75" max="75"/>
    <col width="5" customWidth="1" min="76" max="76"/>
    <col width="5" customWidth="1" min="77" max="77"/>
    <col width="5" customWidth="1" min="78" max="78"/>
    <col width="5" customWidth="1" min="79" max="79"/>
    <col width="5" customWidth="1" min="80" max="80"/>
    <col width="5" customWidth="1" min="81" max="81"/>
    <col width="5" customWidth="1" min="82" max="82"/>
    <col width="5" customWidth="1" min="83" max="83"/>
    <col width="5" customWidth="1" min="84" max="84"/>
    <col width="5" customWidth="1" min="85" max="85"/>
    <col width="5" customWidth="1" min="86" max="86"/>
    <col width="5" customWidth="1" min="87" max="87"/>
    <col width="5" customWidth="1" min="88" max="88"/>
    <col width="5" customWidth="1" min="89" max="89"/>
    <col width="5" customWidth="1" min="90" max="90"/>
    <col width="5" customWidth="1" min="91" max="91"/>
    <col width="5" customWidth="1" min="92" max="92"/>
    <col width="5" customWidth="1" min="93" max="93"/>
    <col width="5" customWidth="1" min="94" max="94"/>
    <col width="5" customWidth="1" min="95" max="95"/>
    <col width="5" customWidth="1" min="96" max="96"/>
    <col width="5" customWidth="1" min="97" max="97"/>
    <col width="5" customWidth="1" min="98" max="98"/>
    <col width="5" customWidth="1" min="99" max="99"/>
    <col width="5" customWidth="1" min="100" max="100"/>
    <col width="5" customWidth="1" min="101" max="101"/>
    <col width="5" customWidth="1" min="102" max="102"/>
    <col width="9" customWidth="1" min="103" max="103"/>
    <col width="9" customWidth="1" min="104" max="104"/>
    <col width="9" customWidth="1" min="105" max="105"/>
    <col width="9" customWidth="1" min="106" max="106"/>
  </cols>
  <sheetData>
    <row r="1">
      <c r="A1" s="1" t="inlineStr">
        <is>
          <t>שבצק יציאות - קו הגנה סוריה</t>
        </is>
      </c>
    </row>
    <row r="2">
      <c r="D2" s="2" t="inlineStr">
        <is>
          <t>יוני 2026</t>
        </is>
      </c>
      <c r="K2" s="2" t="inlineStr">
        <is>
          <t>יולי 2026</t>
        </is>
      </c>
      <c r="AP2" s="2" t="inlineStr">
        <is>
          <t>אוגוסט 2026</t>
        </is>
      </c>
      <c r="BU2" s="2" t="inlineStr">
        <is>
          <t>ספטמבר 2026</t>
        </is>
      </c>
    </row>
    <row r="3" ht="30" customHeight="1">
      <c r="A3" s="2" t="inlineStr">
        <is>
          <t>שם</t>
        </is>
      </c>
      <c r="B3" s="2" t="inlineStr">
        <is>
          <t>תפקיד</t>
        </is>
      </c>
      <c r="C3" s="2" t="inlineStr">
        <is>
          <t>הערות</t>
        </is>
      </c>
      <c r="D3" s="3" t="inlineStr">
        <is>
          <t>24
ד</t>
        </is>
      </c>
      <c r="E3" s="3" t="inlineStr">
        <is>
          <t>25
ה</t>
        </is>
      </c>
      <c r="F3" s="4" t="inlineStr">
        <is>
          <t>26
ו</t>
        </is>
      </c>
      <c r="G3" s="4" t="inlineStr">
        <is>
          <t>27
ש</t>
        </is>
      </c>
      <c r="H3" s="3" t="inlineStr">
        <is>
          <t>28
א</t>
        </is>
      </c>
      <c r="I3" s="3" t="inlineStr">
        <is>
          <t>29
ב</t>
        </is>
      </c>
      <c r="J3" s="3" t="inlineStr">
        <is>
          <t>30
ג</t>
        </is>
      </c>
      <c r="K3" s="3" t="inlineStr">
        <is>
          <t>1
ד</t>
        </is>
      </c>
      <c r="L3" s="3" t="inlineStr">
        <is>
          <t>2
ה</t>
        </is>
      </c>
      <c r="M3" s="4" t="inlineStr">
        <is>
          <t>3
ו</t>
        </is>
      </c>
      <c r="N3" s="4" t="inlineStr">
        <is>
          <t>4
ש</t>
        </is>
      </c>
      <c r="O3" s="3" t="inlineStr">
        <is>
          <t>5
א</t>
        </is>
      </c>
      <c r="P3" s="3" t="inlineStr">
        <is>
          <t>6
ב</t>
        </is>
      </c>
      <c r="Q3" s="3" t="inlineStr">
        <is>
          <t>7
ג</t>
        </is>
      </c>
      <c r="R3" s="3" t="inlineStr">
        <is>
          <t>8
ד</t>
        </is>
      </c>
      <c r="S3" s="3" t="inlineStr">
        <is>
          <t>9
ה</t>
        </is>
      </c>
      <c r="T3" s="4" t="inlineStr">
        <is>
          <t>10
ו</t>
        </is>
      </c>
      <c r="U3" s="4" t="inlineStr">
        <is>
          <t>11
ש</t>
        </is>
      </c>
      <c r="V3" s="3" t="inlineStr">
        <is>
          <t>12
א</t>
        </is>
      </c>
      <c r="W3" s="3" t="inlineStr">
        <is>
          <t>13
ב</t>
        </is>
      </c>
      <c r="X3" s="3" t="inlineStr">
        <is>
          <t>14
ג</t>
        </is>
      </c>
      <c r="Y3" s="3" t="inlineStr">
        <is>
          <t>15
ד</t>
        </is>
      </c>
      <c r="Z3" s="3" t="inlineStr">
        <is>
          <t>16
ה</t>
        </is>
      </c>
      <c r="AA3" s="4" t="inlineStr">
        <is>
          <t>17
ו</t>
        </is>
      </c>
      <c r="AB3" s="4" t="inlineStr">
        <is>
          <t>18
ש</t>
        </is>
      </c>
      <c r="AC3" s="3" t="inlineStr">
        <is>
          <t>19
א</t>
        </is>
      </c>
      <c r="AD3" s="3" t="inlineStr">
        <is>
          <t>20
ב</t>
        </is>
      </c>
      <c r="AE3" s="3" t="inlineStr">
        <is>
          <t>21
ג</t>
        </is>
      </c>
      <c r="AF3" s="3" t="inlineStr">
        <is>
          <t>22
ד</t>
        </is>
      </c>
      <c r="AG3" s="3" t="inlineStr">
        <is>
          <t>23
ה</t>
        </is>
      </c>
      <c r="AH3" s="4" t="inlineStr">
        <is>
          <t>24
ו</t>
        </is>
      </c>
      <c r="AI3" s="4" t="inlineStr">
        <is>
          <t>25
ש</t>
        </is>
      </c>
      <c r="AJ3" s="3" t="inlineStr">
        <is>
          <t>26
א</t>
        </is>
      </c>
      <c r="AK3" s="3" t="inlineStr">
        <is>
          <t>27
ב</t>
        </is>
      </c>
      <c r="AL3" s="3" t="inlineStr">
        <is>
          <t>28
ג</t>
        </is>
      </c>
      <c r="AM3" s="3" t="inlineStr">
        <is>
          <t>29
ד</t>
        </is>
      </c>
      <c r="AN3" s="3" t="inlineStr">
        <is>
          <t>30
ה</t>
        </is>
      </c>
      <c r="AO3" s="4" t="inlineStr">
        <is>
          <t>31
ו</t>
        </is>
      </c>
      <c r="AP3" s="4" t="inlineStr">
        <is>
          <t>1
ש</t>
        </is>
      </c>
      <c r="AQ3" s="3" t="inlineStr">
        <is>
          <t>2
א</t>
        </is>
      </c>
      <c r="AR3" s="3" t="inlineStr">
        <is>
          <t>3
ב</t>
        </is>
      </c>
      <c r="AS3" s="3" t="inlineStr">
        <is>
          <t>4
ג</t>
        </is>
      </c>
      <c r="AT3" s="3" t="inlineStr">
        <is>
          <t>5
ד</t>
        </is>
      </c>
      <c r="AU3" s="3" t="inlineStr">
        <is>
          <t>6
ה</t>
        </is>
      </c>
      <c r="AV3" s="4" t="inlineStr">
        <is>
          <t>7
ו</t>
        </is>
      </c>
      <c r="AW3" s="4" t="inlineStr">
        <is>
          <t>8
ש</t>
        </is>
      </c>
      <c r="AX3" s="3" t="inlineStr">
        <is>
          <t>9
א</t>
        </is>
      </c>
      <c r="AY3" s="3" t="inlineStr">
        <is>
          <t>10
ב</t>
        </is>
      </c>
      <c r="AZ3" s="3" t="inlineStr">
        <is>
          <t>11
ג</t>
        </is>
      </c>
      <c r="BA3" s="3" t="inlineStr">
        <is>
          <t>12
ד</t>
        </is>
      </c>
      <c r="BB3" s="3" t="inlineStr">
        <is>
          <t>13
ה</t>
        </is>
      </c>
      <c r="BC3" s="4" t="inlineStr">
        <is>
          <t>14
ו</t>
        </is>
      </c>
      <c r="BD3" s="4" t="inlineStr">
        <is>
          <t>15
ש</t>
        </is>
      </c>
      <c r="BE3" s="3" t="inlineStr">
        <is>
          <t>16
א</t>
        </is>
      </c>
      <c r="BF3" s="3" t="inlineStr">
        <is>
          <t>17
ב</t>
        </is>
      </c>
      <c r="BG3" s="3" t="inlineStr">
        <is>
          <t>18
ג</t>
        </is>
      </c>
      <c r="BH3" s="3" t="inlineStr">
        <is>
          <t>19
ד</t>
        </is>
      </c>
      <c r="BI3" s="3" t="inlineStr">
        <is>
          <t>20
ה</t>
        </is>
      </c>
      <c r="BJ3" s="4" t="inlineStr">
        <is>
          <t>21
ו</t>
        </is>
      </c>
      <c r="BK3" s="4" t="inlineStr">
        <is>
          <t>22
ש</t>
        </is>
      </c>
      <c r="BL3" s="3" t="inlineStr">
        <is>
          <t>23
א</t>
        </is>
      </c>
      <c r="BM3" s="3" t="inlineStr">
        <is>
          <t>24
ב</t>
        </is>
      </c>
      <c r="BN3" s="3" t="inlineStr">
        <is>
          <t>25
ג</t>
        </is>
      </c>
      <c r="BO3" s="3" t="inlineStr">
        <is>
          <t>26
ד</t>
        </is>
      </c>
      <c r="BP3" s="3" t="inlineStr">
        <is>
          <t>27
ה</t>
        </is>
      </c>
      <c r="BQ3" s="4" t="inlineStr">
        <is>
          <t>28
ו</t>
        </is>
      </c>
      <c r="BR3" s="4" t="inlineStr">
        <is>
          <t>29
ש</t>
        </is>
      </c>
      <c r="BS3" s="3" t="inlineStr">
        <is>
          <t>30
א</t>
        </is>
      </c>
      <c r="BT3" s="3" t="inlineStr">
        <is>
          <t>31
ב</t>
        </is>
      </c>
      <c r="BU3" s="3" t="inlineStr">
        <is>
          <t>1
ג</t>
        </is>
      </c>
      <c r="BV3" s="3" t="inlineStr">
        <is>
          <t>2
ד</t>
        </is>
      </c>
      <c r="BW3" s="3" t="inlineStr">
        <is>
          <t>3
ה</t>
        </is>
      </c>
      <c r="BX3" s="4" t="inlineStr">
        <is>
          <t>4
ו</t>
        </is>
      </c>
      <c r="BY3" s="4" t="inlineStr">
        <is>
          <t>5
ש</t>
        </is>
      </c>
      <c r="BZ3" s="3" t="inlineStr">
        <is>
          <t>6
א</t>
        </is>
      </c>
      <c r="CA3" s="3" t="inlineStr">
        <is>
          <t>7
ב</t>
        </is>
      </c>
      <c r="CB3" s="3" t="inlineStr">
        <is>
          <t>8
ג</t>
        </is>
      </c>
      <c r="CC3" s="3" t="inlineStr">
        <is>
          <t>9
ד</t>
        </is>
      </c>
      <c r="CD3" s="3" t="inlineStr">
        <is>
          <t>10
ה</t>
        </is>
      </c>
      <c r="CE3" s="5" t="inlineStr">
        <is>
          <t>11
ו</t>
        </is>
      </c>
      <c r="CF3" s="5" t="inlineStr">
        <is>
          <t>12
ש</t>
        </is>
      </c>
      <c r="CG3" s="5" t="inlineStr">
        <is>
          <t>13
א</t>
        </is>
      </c>
      <c r="CH3" s="3" t="inlineStr">
        <is>
          <t>14
ב</t>
        </is>
      </c>
      <c r="CI3" s="3" t="inlineStr">
        <is>
          <t>15
ג</t>
        </is>
      </c>
      <c r="CJ3" s="3" t="inlineStr">
        <is>
          <t>16
ד</t>
        </is>
      </c>
      <c r="CK3" s="3" t="inlineStr">
        <is>
          <t>17
ה</t>
        </is>
      </c>
      <c r="CL3" s="4" t="inlineStr">
        <is>
          <t>18
ו</t>
        </is>
      </c>
      <c r="CM3" s="4" t="inlineStr">
        <is>
          <t>19
ש</t>
        </is>
      </c>
      <c r="CN3" s="5" t="inlineStr">
        <is>
          <t>20
א</t>
        </is>
      </c>
      <c r="CO3" s="5" t="inlineStr">
        <is>
          <t>21
ב</t>
        </is>
      </c>
      <c r="CP3" s="3" t="inlineStr">
        <is>
          <t>22
ג</t>
        </is>
      </c>
      <c r="CQ3" s="3" t="inlineStr">
        <is>
          <t>23
ד</t>
        </is>
      </c>
      <c r="CR3" s="3" t="inlineStr">
        <is>
          <t>24
ה</t>
        </is>
      </c>
      <c r="CS3" s="5" t="inlineStr">
        <is>
          <t>25
ו</t>
        </is>
      </c>
      <c r="CT3" s="5" t="inlineStr">
        <is>
          <t>26
ש</t>
        </is>
      </c>
      <c r="CU3" s="3" t="inlineStr">
        <is>
          <t>27
א</t>
        </is>
      </c>
      <c r="CV3" s="3" t="inlineStr">
        <is>
          <t>28
ב</t>
        </is>
      </c>
      <c r="CW3" s="3" t="inlineStr">
        <is>
          <t>29
ג</t>
        </is>
      </c>
      <c r="CX3" s="3" t="inlineStr">
        <is>
          <t>30
ד</t>
        </is>
      </c>
      <c r="CY3" s="2" t="inlineStr">
        <is>
          <t>ימי בסיס</t>
        </is>
      </c>
      <c r="CZ3" s="2" t="inlineStr">
        <is>
          <t>ימי בית</t>
        </is>
      </c>
      <c r="DA3" s="2" t="inlineStr">
        <is>
          <t>סופ"ש בבית</t>
        </is>
      </c>
      <c r="DB3" s="2" t="inlineStr">
        <is>
          <t>חגים בבית</t>
        </is>
      </c>
    </row>
    <row r="4">
      <c r="A4" s="6" t="inlineStr">
        <is>
          <t>איתי עוזיאל</t>
        </is>
      </c>
      <c r="B4" s="7" t="inlineStr">
        <is>
          <t>קלג</t>
        </is>
      </c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9">
        <f>COUNTIF(D4:CX4,"בסיס")</f>
        <v/>
      </c>
      <c r="CZ4" s="9">
        <f>COUNTIF(D4:CX4,"בית")</f>
        <v/>
      </c>
      <c r="DA4" s="9">
        <f>SUMPRODUCT($D$30:$CX$30,--(D4:CX4="בית"))</f>
        <v/>
      </c>
      <c r="DB4" s="9">
        <f>SUMPRODUCT($D$31:$CX$31,--(D4:CX4="בית"))</f>
        <v/>
      </c>
    </row>
    <row r="5">
      <c r="A5" s="6" t="inlineStr">
        <is>
          <t>אורי עוזיאל</t>
        </is>
      </c>
      <c r="B5" s="7" t="inlineStr">
        <is>
          <t>סמל נשקייה</t>
        </is>
      </c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9">
        <f>COUNTIF(D5:CX5,"בסיס")</f>
        <v/>
      </c>
      <c r="CZ5" s="9">
        <f>COUNTIF(D5:CX5,"בית")</f>
        <v/>
      </c>
      <c r="DA5" s="9">
        <f>SUMPRODUCT($D$30:$CX$30,--(D5:CX5="בית"))</f>
        <v/>
      </c>
      <c r="DB5" s="9">
        <f>SUMPRODUCT($D$31:$CX$31,--(D5:CX5="בית"))</f>
        <v/>
      </c>
    </row>
    <row r="6">
      <c r="A6" s="6" t="inlineStr">
        <is>
          <t>ינון איזון</t>
        </is>
      </c>
      <c r="B6" s="7" t="inlineStr">
        <is>
          <t>נשקייה</t>
        </is>
      </c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9">
        <f>COUNTIF(D6:CX6,"בסיס")</f>
        <v/>
      </c>
      <c r="CZ6" s="9">
        <f>COUNTIF(D6:CX6,"בית")</f>
        <v/>
      </c>
      <c r="DA6" s="9">
        <f>SUMPRODUCT($D$30:$CX$30,--(D6:CX6="בית"))</f>
        <v/>
      </c>
      <c r="DB6" s="9">
        <f>SUMPRODUCT($D$31:$CX$31,--(D6:CX6="בית"))</f>
        <v/>
      </c>
    </row>
    <row r="7">
      <c r="A7" s="6" t="inlineStr">
        <is>
          <t>שי ארנלדס</t>
        </is>
      </c>
      <c r="B7" s="7" t="inlineStr">
        <is>
          <t>נשקייה</t>
        </is>
      </c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9">
        <f>COUNTIF(D7:CX7,"בסיס")</f>
        <v/>
      </c>
      <c r="CZ7" s="9">
        <f>COUNTIF(D7:CX7,"בית")</f>
        <v/>
      </c>
      <c r="DA7" s="9">
        <f>SUMPRODUCT($D$30:$CX$30,--(D7:CX7="בית"))</f>
        <v/>
      </c>
      <c r="DB7" s="9">
        <f>SUMPRODUCT($D$31:$CX$31,--(D7:CX7="בית"))</f>
        <v/>
      </c>
    </row>
    <row r="8">
      <c r="A8" s="6" t="inlineStr">
        <is>
          <t>איתי שמש</t>
        </is>
      </c>
      <c r="B8" s="7" t="inlineStr">
        <is>
          <t>נשקייה</t>
        </is>
      </c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9">
        <f>COUNTIF(D8:CX8,"בסיס")</f>
        <v/>
      </c>
      <c r="CZ8" s="9">
        <f>COUNTIF(D8:CX8,"בית")</f>
        <v/>
      </c>
      <c r="DA8" s="9">
        <f>SUMPRODUCT($D$30:$CX$30,--(D8:CX8="בית"))</f>
        <v/>
      </c>
      <c r="DB8" s="9">
        <f>SUMPRODUCT($D$31:$CX$31,--(D8:CX8="בית"))</f>
        <v/>
      </c>
    </row>
    <row r="9">
      <c r="A9" s="6" t="inlineStr">
        <is>
          <t>אביעד כהן</t>
        </is>
      </c>
      <c r="B9" s="7" t="inlineStr">
        <is>
          <t>נשקייה</t>
        </is>
      </c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9">
        <f>COUNTIF(D9:CX9,"בסיס")</f>
        <v/>
      </c>
      <c r="CZ9" s="9">
        <f>COUNTIF(D9:CX9,"בית")</f>
        <v/>
      </c>
      <c r="DA9" s="9">
        <f>SUMPRODUCT($D$30:$CX$30,--(D9:CX9="בית"))</f>
        <v/>
      </c>
      <c r="DB9" s="9">
        <f>SUMPRODUCT($D$31:$CX$31,--(D9:CX9="בית"))</f>
        <v/>
      </c>
    </row>
    <row r="10">
      <c r="A10" s="6" t="inlineStr">
        <is>
          <t>אזוגי נתנאל</t>
        </is>
      </c>
      <c r="B10" s="7" t="inlineStr">
        <is>
          <t>אפסנאות</t>
        </is>
      </c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9">
        <f>COUNTIF(D10:CX10,"בסיס")</f>
        <v/>
      </c>
      <c r="CZ10" s="9">
        <f>COUNTIF(D10:CX10,"בית")</f>
        <v/>
      </c>
      <c r="DA10" s="9">
        <f>SUMPRODUCT($D$30:$CX$30,--(D10:CX10="בית"))</f>
        <v/>
      </c>
      <c r="DB10" s="9">
        <f>SUMPRODUCT($D$31:$CX$31,--(D10:CX10="בית"))</f>
        <v/>
      </c>
    </row>
    <row r="11">
      <c r="A11" s="6" t="inlineStr">
        <is>
          <t>ניב סורוקר</t>
        </is>
      </c>
      <c r="B11" s="7" t="inlineStr">
        <is>
          <t>אפסנאות</t>
        </is>
      </c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9">
        <f>COUNTIF(D11:CX11,"בסיס")</f>
        <v/>
      </c>
      <c r="CZ11" s="9">
        <f>COUNTIF(D11:CX11,"בית")</f>
        <v/>
      </c>
      <c r="DA11" s="9">
        <f>SUMPRODUCT($D$30:$CX$30,--(D11:CX11="בית"))</f>
        <v/>
      </c>
      <c r="DB11" s="9">
        <f>SUMPRODUCT($D$31:$CX$31,--(D11:CX11="בית"))</f>
        <v/>
      </c>
    </row>
    <row r="12">
      <c r="A12" s="6" t="inlineStr">
        <is>
          <t>צבי לונדין</t>
        </is>
      </c>
      <c r="B12" s="7" t="inlineStr">
        <is>
          <t>אפסנאות</t>
        </is>
      </c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9">
        <f>COUNTIF(D12:CX12,"בסיס")</f>
        <v/>
      </c>
      <c r="CZ12" s="9">
        <f>COUNTIF(D12:CX12,"בית")</f>
        <v/>
      </c>
      <c r="DA12" s="9">
        <f>SUMPRODUCT($D$30:$CX$30,--(D12:CX12="בית"))</f>
        <v/>
      </c>
      <c r="DB12" s="9">
        <f>SUMPRODUCT($D$31:$CX$31,--(D12:CX12="בית"))</f>
        <v/>
      </c>
    </row>
    <row r="13">
      <c r="A13" s="6" t="inlineStr">
        <is>
          <t>יוסף חגואל</t>
        </is>
      </c>
      <c r="B13" s="7" t="inlineStr">
        <is>
          <t>נשקייה</t>
        </is>
      </c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9">
        <f>COUNTIF(D13:CX13,"בסיס")</f>
        <v/>
      </c>
      <c r="CZ13" s="9">
        <f>COUNTIF(D13:CX13,"בית")</f>
        <v/>
      </c>
      <c r="DA13" s="9">
        <f>SUMPRODUCT($D$30:$CX$30,--(D13:CX13="בית"))</f>
        <v/>
      </c>
      <c r="DB13" s="9">
        <f>SUMPRODUCT($D$31:$CX$31,--(D13:CX13="בית"))</f>
        <v/>
      </c>
    </row>
    <row r="14">
      <c r="A14" s="6" t="inlineStr">
        <is>
          <t>אדם ממן</t>
        </is>
      </c>
      <c r="B14" s="7" t="inlineStr">
        <is>
          <t>סמל אפסנאות</t>
        </is>
      </c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9">
        <f>COUNTIF(D14:CX14,"בסיס")</f>
        <v/>
      </c>
      <c r="CZ14" s="9">
        <f>COUNTIF(D14:CX14,"בית")</f>
        <v/>
      </c>
      <c r="DA14" s="9">
        <f>SUMPRODUCT($D$30:$CX$30,--(D14:CX14="בית"))</f>
        <v/>
      </c>
      <c r="DB14" s="9">
        <f>SUMPRODUCT($D$31:$CX$31,--(D14:CX14="בית"))</f>
        <v/>
      </c>
    </row>
    <row r="15">
      <c r="A15" s="6" t="inlineStr">
        <is>
          <t>גבריאל יעקוביאן</t>
        </is>
      </c>
      <c r="B15" s="7" t="inlineStr">
        <is>
          <t>נשקייה</t>
        </is>
      </c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9">
        <f>COUNTIF(D15:CX15,"בסיס")</f>
        <v/>
      </c>
      <c r="CZ15" s="9">
        <f>COUNTIF(D15:CX15,"בית")</f>
        <v/>
      </c>
      <c r="DA15" s="9">
        <f>SUMPRODUCT($D$30:$CX$30,--(D15:CX15="בית"))</f>
        <v/>
      </c>
      <c r="DB15" s="9">
        <f>SUMPRODUCT($D$31:$CX$31,--(D15:CX15="בית"))</f>
        <v/>
      </c>
    </row>
    <row r="16">
      <c r="A16" s="6" t="inlineStr">
        <is>
          <t>יקיר אלימלך</t>
        </is>
      </c>
      <c r="B16" s="7" t="inlineStr">
        <is>
          <t>אפסנאות</t>
        </is>
      </c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9">
        <f>COUNTIF(D16:CX16,"בסיס")</f>
        <v/>
      </c>
      <c r="CZ16" s="9">
        <f>COUNTIF(D16:CX16,"בית")</f>
        <v/>
      </c>
      <c r="DA16" s="9">
        <f>SUMPRODUCT($D$30:$CX$30,--(D16:CX16="בית"))</f>
        <v/>
      </c>
      <c r="DB16" s="9">
        <f>SUMPRODUCT($D$31:$CX$31,--(D16:CX16="בית"))</f>
        <v/>
      </c>
    </row>
    <row r="17">
      <c r="A17" s="6" t="inlineStr">
        <is>
          <t>יוסי כהן</t>
        </is>
      </c>
      <c r="B17" s="7" t="inlineStr">
        <is>
          <t>נשקייה-רחפנים</t>
        </is>
      </c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9">
        <f>COUNTIF(D17:CX17,"בסיס")</f>
        <v/>
      </c>
      <c r="CZ17" s="9">
        <f>COUNTIF(D17:CX17,"בית")</f>
        <v/>
      </c>
      <c r="DA17" s="9">
        <f>SUMPRODUCT($D$30:$CX$30,--(D17:CX17="בית"))</f>
        <v/>
      </c>
      <c r="DB17" s="9">
        <f>SUMPRODUCT($D$31:$CX$31,--(D17:CX17="בית"))</f>
        <v/>
      </c>
    </row>
    <row r="18">
      <c r="A18" s="6" t="inlineStr">
        <is>
          <t>רון בן שושן</t>
        </is>
      </c>
      <c r="B18" s="7" t="inlineStr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9">
        <f>COUNTIF(D18:CX18,"בסיס")</f>
        <v/>
      </c>
      <c r="CZ18" s="9">
        <f>COUNTIF(D18:CX18,"בית")</f>
        <v/>
      </c>
      <c r="DA18" s="9">
        <f>SUMPRODUCT($D$30:$CX$30,--(D18:CX18="בית"))</f>
        <v/>
      </c>
      <c r="DB18" s="9">
        <f>SUMPRODUCT($D$31:$CX$31,--(D18:CX18="בית"))</f>
        <v/>
      </c>
    </row>
    <row r="19">
      <c r="A19" s="6" t="inlineStr">
        <is>
          <t>דוד שמחי</t>
        </is>
      </c>
      <c r="B19" s="7" t="inlineStr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9">
        <f>COUNTIF(D19:CX19,"בסיס")</f>
        <v/>
      </c>
      <c r="CZ19" s="9">
        <f>COUNTIF(D19:CX19,"בית")</f>
        <v/>
      </c>
      <c r="DA19" s="9">
        <f>SUMPRODUCT($D$30:$CX$30,--(D19:CX19="בית"))</f>
        <v/>
      </c>
      <c r="DB19" s="9">
        <f>SUMPRODUCT($D$31:$CX$31,--(D19:CX19="בית"))</f>
        <v/>
      </c>
    </row>
    <row r="20">
      <c r="A20" s="6" t="inlineStr">
        <is>
          <t>לב גינזבורג</t>
        </is>
      </c>
      <c r="B20" s="7" t="inlineStr">
        <is>
          <t>נשקייה</t>
        </is>
      </c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9">
        <f>COUNTIF(D20:CX20,"בסיס")</f>
        <v/>
      </c>
      <c r="CZ20" s="9">
        <f>COUNTIF(D20:CX20,"בית")</f>
        <v/>
      </c>
      <c r="DA20" s="9">
        <f>SUMPRODUCT($D$30:$CX$30,--(D20:CX20="בית"))</f>
        <v/>
      </c>
      <c r="DB20" s="9">
        <f>SUMPRODUCT($D$31:$CX$31,--(D20:CX20="בית"))</f>
        <v/>
      </c>
    </row>
    <row r="21">
      <c r="A21" s="6" t="inlineStr">
        <is>
          <t>יעקב גרמאי</t>
        </is>
      </c>
      <c r="B21" s="7" t="inlineStr">
        <is>
          <t>אפסנאות</t>
        </is>
      </c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9">
        <f>COUNTIF(D21:CX21,"בסיס")</f>
        <v/>
      </c>
      <c r="CZ21" s="9">
        <f>COUNTIF(D21:CX21,"בית")</f>
        <v/>
      </c>
      <c r="DA21" s="9">
        <f>SUMPRODUCT($D$30:$CX$30,--(D21:CX21="בית"))</f>
        <v/>
      </c>
      <c r="DB21" s="9">
        <f>SUMPRODUCT($D$31:$CX$31,--(D21:CX21="בית"))</f>
        <v/>
      </c>
    </row>
    <row r="22">
      <c r="A22" s="6" t="inlineStr">
        <is>
          <t>עידן אשטון</t>
        </is>
      </c>
      <c r="B22" s="7" t="inlineStr">
        <is>
          <t>אפסנאות</t>
        </is>
      </c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9">
        <f>COUNTIF(D22:CX22,"בסיס")</f>
        <v/>
      </c>
      <c r="CZ22" s="9">
        <f>COUNTIF(D22:CX22,"בית")</f>
        <v/>
      </c>
      <c r="DA22" s="9">
        <f>SUMPRODUCT($D$30:$CX$30,--(D22:CX22="בית"))</f>
        <v/>
      </c>
      <c r="DB22" s="9">
        <f>SUMPRODUCT($D$31:$CX$31,--(D22:CX22="בית"))</f>
        <v/>
      </c>
    </row>
    <row r="23">
      <c r="A23" s="6" t="inlineStr">
        <is>
          <t>עומר נוימן</t>
        </is>
      </c>
      <c r="B23" s="7" t="inlineStr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9">
        <f>COUNTIF(D23:CX23,"בסיס")</f>
        <v/>
      </c>
      <c r="CZ23" s="9">
        <f>COUNTIF(D23:CX23,"בית")</f>
        <v/>
      </c>
      <c r="DA23" s="9">
        <f>SUMPRODUCT($D$30:$CX$30,--(D23:CX23="בית"))</f>
        <v/>
      </c>
      <c r="DB23" s="9">
        <f>SUMPRODUCT($D$31:$CX$31,--(D23:CX23="בית"))</f>
        <v/>
      </c>
    </row>
    <row r="24">
      <c r="A24" s="6" t="inlineStr">
        <is>
          <t>דוד עבאדה</t>
        </is>
      </c>
      <c r="B24" s="7" t="inlineStr">
        <is>
          <t>אפסנאות</t>
        </is>
      </c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9">
        <f>COUNTIF(D24:CX24,"בסיס")</f>
        <v/>
      </c>
      <c r="CZ24" s="9">
        <f>COUNTIF(D24:CX24,"בית")</f>
        <v/>
      </c>
      <c r="DA24" s="9">
        <f>SUMPRODUCT($D$30:$CX$30,--(D24:CX24="בית"))</f>
        <v/>
      </c>
      <c r="DB24" s="9">
        <f>SUMPRODUCT($D$31:$CX$31,--(D24:CX24="בית"))</f>
        <v/>
      </c>
    </row>
    <row r="25">
      <c r="A25" s="10" t="inlineStr">
        <is>
          <t>סה"כ בבסיס</t>
        </is>
      </c>
      <c r="D25" s="11">
        <f>COUNTIF(D4:D24,"בסיס")</f>
        <v/>
      </c>
      <c r="E25" s="11">
        <f>COUNTIF(E4:E24,"בסיס")</f>
        <v/>
      </c>
      <c r="F25" s="11">
        <f>COUNTIF(F4:F24,"בסיס")</f>
        <v/>
      </c>
      <c r="G25" s="11">
        <f>COUNTIF(G4:G24,"בסיס")</f>
        <v/>
      </c>
      <c r="H25" s="11">
        <f>COUNTIF(H4:H24,"בסיס")</f>
        <v/>
      </c>
      <c r="I25" s="11">
        <f>COUNTIF(I4:I24,"בסיס")</f>
        <v/>
      </c>
      <c r="J25" s="11">
        <f>COUNTIF(J4:J24,"בסיס")</f>
        <v/>
      </c>
      <c r="K25" s="11">
        <f>COUNTIF(K4:K24,"בסיס")</f>
        <v/>
      </c>
      <c r="L25" s="11">
        <f>COUNTIF(L4:L24,"בסיס")</f>
        <v/>
      </c>
      <c r="M25" s="11">
        <f>COUNTIF(M4:M24,"בסיס")</f>
        <v/>
      </c>
      <c r="N25" s="11">
        <f>COUNTIF(N4:N24,"בסיס")</f>
        <v/>
      </c>
      <c r="O25" s="11">
        <f>COUNTIF(O4:O24,"בסיס")</f>
        <v/>
      </c>
      <c r="P25" s="11">
        <f>COUNTIF(P4:P24,"בסיס")</f>
        <v/>
      </c>
      <c r="Q25" s="11">
        <f>COUNTIF(Q4:Q24,"בסיס")</f>
        <v/>
      </c>
      <c r="R25" s="11">
        <f>COUNTIF(R4:R24,"בסיס")</f>
        <v/>
      </c>
      <c r="S25" s="11">
        <f>COUNTIF(S4:S24,"בסיס")</f>
        <v/>
      </c>
      <c r="T25" s="11">
        <f>COUNTIF(T4:T24,"בסיס")</f>
        <v/>
      </c>
      <c r="U25" s="11">
        <f>COUNTIF(U4:U24,"בסיס")</f>
        <v/>
      </c>
      <c r="V25" s="11">
        <f>COUNTIF(V4:V24,"בסיס")</f>
        <v/>
      </c>
      <c r="W25" s="11">
        <f>COUNTIF(W4:W24,"בסיס")</f>
        <v/>
      </c>
      <c r="X25" s="11">
        <f>COUNTIF(X4:X24,"בסיס")</f>
        <v/>
      </c>
      <c r="Y25" s="11">
        <f>COUNTIF(Y4:Y24,"בסיס")</f>
        <v/>
      </c>
      <c r="Z25" s="11">
        <f>COUNTIF(Z4:Z24,"בסיס")</f>
        <v/>
      </c>
      <c r="AA25" s="11">
        <f>COUNTIF(AA4:AA24,"בסיס")</f>
        <v/>
      </c>
      <c r="AB25" s="11">
        <f>COUNTIF(AB4:AB24,"בסיס")</f>
        <v/>
      </c>
      <c r="AC25" s="11">
        <f>COUNTIF(AC4:AC24,"בסיס")</f>
        <v/>
      </c>
      <c r="AD25" s="11">
        <f>COUNTIF(AD4:AD24,"בסיס")</f>
        <v/>
      </c>
      <c r="AE25" s="11">
        <f>COUNTIF(AE4:AE24,"בסיס")</f>
        <v/>
      </c>
      <c r="AF25" s="11">
        <f>COUNTIF(AF4:AF24,"בסיס")</f>
        <v/>
      </c>
      <c r="AG25" s="11">
        <f>COUNTIF(AG4:AG24,"בסיס")</f>
        <v/>
      </c>
      <c r="AH25" s="11">
        <f>COUNTIF(AH4:AH24,"בסיס")</f>
        <v/>
      </c>
      <c r="AI25" s="11">
        <f>COUNTIF(AI4:AI24,"בסיס")</f>
        <v/>
      </c>
      <c r="AJ25" s="11">
        <f>COUNTIF(AJ4:AJ24,"בסיס")</f>
        <v/>
      </c>
      <c r="AK25" s="11">
        <f>COUNTIF(AK4:AK24,"בסיס")</f>
        <v/>
      </c>
      <c r="AL25" s="11">
        <f>COUNTIF(AL4:AL24,"בסיס")</f>
        <v/>
      </c>
      <c r="AM25" s="11">
        <f>COUNTIF(AM4:AM24,"בסיס")</f>
        <v/>
      </c>
      <c r="AN25" s="11">
        <f>COUNTIF(AN4:AN24,"בסיס")</f>
        <v/>
      </c>
      <c r="AO25" s="11">
        <f>COUNTIF(AO4:AO24,"בסיס")</f>
        <v/>
      </c>
      <c r="AP25" s="11">
        <f>COUNTIF(AP4:AP24,"בסיס")</f>
        <v/>
      </c>
      <c r="AQ25" s="11">
        <f>COUNTIF(AQ4:AQ24,"בסיס")</f>
        <v/>
      </c>
      <c r="AR25" s="11">
        <f>COUNTIF(AR4:AR24,"בסיס")</f>
        <v/>
      </c>
      <c r="AS25" s="11">
        <f>COUNTIF(AS4:AS24,"בסיס")</f>
        <v/>
      </c>
      <c r="AT25" s="11">
        <f>COUNTIF(AT4:AT24,"בסיס")</f>
        <v/>
      </c>
      <c r="AU25" s="11">
        <f>COUNTIF(AU4:AU24,"בסיס")</f>
        <v/>
      </c>
      <c r="AV25" s="11">
        <f>COUNTIF(AV4:AV24,"בסיס")</f>
        <v/>
      </c>
      <c r="AW25" s="11">
        <f>COUNTIF(AW4:AW24,"בסיס")</f>
        <v/>
      </c>
      <c r="AX25" s="11">
        <f>COUNTIF(AX4:AX24,"בסיס")</f>
        <v/>
      </c>
      <c r="AY25" s="11">
        <f>COUNTIF(AY4:AY24,"בסיס")</f>
        <v/>
      </c>
      <c r="AZ25" s="11">
        <f>COUNTIF(AZ4:AZ24,"בסיס")</f>
        <v/>
      </c>
      <c r="BA25" s="11">
        <f>COUNTIF(BA4:BA24,"בסיס")</f>
        <v/>
      </c>
      <c r="BB25" s="11">
        <f>COUNTIF(BB4:BB24,"בסיס")</f>
        <v/>
      </c>
      <c r="BC25" s="11">
        <f>COUNTIF(BC4:BC24,"בסיס")</f>
        <v/>
      </c>
      <c r="BD25" s="11">
        <f>COUNTIF(BD4:BD24,"בסיס")</f>
        <v/>
      </c>
      <c r="BE25" s="11">
        <f>COUNTIF(BE4:BE24,"בסיס")</f>
        <v/>
      </c>
      <c r="BF25" s="11">
        <f>COUNTIF(BF4:BF24,"בסיס")</f>
        <v/>
      </c>
      <c r="BG25" s="11">
        <f>COUNTIF(BG4:BG24,"בסיס")</f>
        <v/>
      </c>
      <c r="BH25" s="11">
        <f>COUNTIF(BH4:BH24,"בסיס")</f>
        <v/>
      </c>
      <c r="BI25" s="11">
        <f>COUNTIF(BI4:BI24,"בסיס")</f>
        <v/>
      </c>
      <c r="BJ25" s="11">
        <f>COUNTIF(BJ4:BJ24,"בסיס")</f>
        <v/>
      </c>
      <c r="BK25" s="11">
        <f>COUNTIF(BK4:BK24,"בסיס")</f>
        <v/>
      </c>
      <c r="BL25" s="11">
        <f>COUNTIF(BL4:BL24,"בסיס")</f>
        <v/>
      </c>
      <c r="BM25" s="11">
        <f>COUNTIF(BM4:BM24,"בסיס")</f>
        <v/>
      </c>
      <c r="BN25" s="11">
        <f>COUNTIF(BN4:BN24,"בסיס")</f>
        <v/>
      </c>
      <c r="BO25" s="11">
        <f>COUNTIF(BO4:BO24,"בסיס")</f>
        <v/>
      </c>
      <c r="BP25" s="11">
        <f>COUNTIF(BP4:BP24,"בסיס")</f>
        <v/>
      </c>
      <c r="BQ25" s="11">
        <f>COUNTIF(BQ4:BQ24,"בסיס")</f>
        <v/>
      </c>
      <c r="BR25" s="11">
        <f>COUNTIF(BR4:BR24,"בסיס")</f>
        <v/>
      </c>
      <c r="BS25" s="11">
        <f>COUNTIF(BS4:BS24,"בסיס")</f>
        <v/>
      </c>
      <c r="BT25" s="11">
        <f>COUNTIF(BT4:BT24,"בסיס")</f>
        <v/>
      </c>
      <c r="BU25" s="11">
        <f>COUNTIF(BU4:BU24,"בסיס")</f>
        <v/>
      </c>
      <c r="BV25" s="11">
        <f>COUNTIF(BV4:BV24,"בסיס")</f>
        <v/>
      </c>
      <c r="BW25" s="11">
        <f>COUNTIF(BW4:BW24,"בסיס")</f>
        <v/>
      </c>
      <c r="BX25" s="11">
        <f>COUNTIF(BX4:BX24,"בסיס")</f>
        <v/>
      </c>
      <c r="BY25" s="11">
        <f>COUNTIF(BY4:BY24,"בסיס")</f>
        <v/>
      </c>
      <c r="BZ25" s="11">
        <f>COUNTIF(BZ4:BZ24,"בסיס")</f>
        <v/>
      </c>
      <c r="CA25" s="11">
        <f>COUNTIF(CA4:CA24,"בסיס")</f>
        <v/>
      </c>
      <c r="CB25" s="11">
        <f>COUNTIF(CB4:CB24,"בסיס")</f>
        <v/>
      </c>
      <c r="CC25" s="11">
        <f>COUNTIF(CC4:CC24,"בסיס")</f>
        <v/>
      </c>
      <c r="CD25" s="11">
        <f>COUNTIF(CD4:CD24,"בסיס")</f>
        <v/>
      </c>
      <c r="CE25" s="11">
        <f>COUNTIF(CE4:CE24,"בסיס")</f>
        <v/>
      </c>
      <c r="CF25" s="11">
        <f>COUNTIF(CF4:CF24,"בסיס")</f>
        <v/>
      </c>
      <c r="CG25" s="11">
        <f>COUNTIF(CG4:CG24,"בסיס")</f>
        <v/>
      </c>
      <c r="CH25" s="11">
        <f>COUNTIF(CH4:CH24,"בסיס")</f>
        <v/>
      </c>
      <c r="CI25" s="11">
        <f>COUNTIF(CI4:CI24,"בסיס")</f>
        <v/>
      </c>
      <c r="CJ25" s="11">
        <f>COUNTIF(CJ4:CJ24,"בסיס")</f>
        <v/>
      </c>
      <c r="CK25" s="11">
        <f>COUNTIF(CK4:CK24,"בסיס")</f>
        <v/>
      </c>
      <c r="CL25" s="11">
        <f>COUNTIF(CL4:CL24,"בסיס")</f>
        <v/>
      </c>
      <c r="CM25" s="11">
        <f>COUNTIF(CM4:CM24,"בסיס")</f>
        <v/>
      </c>
      <c r="CN25" s="11">
        <f>COUNTIF(CN4:CN24,"בסיס")</f>
        <v/>
      </c>
      <c r="CO25" s="11">
        <f>COUNTIF(CO4:CO24,"בסיס")</f>
        <v/>
      </c>
      <c r="CP25" s="11">
        <f>COUNTIF(CP4:CP24,"בסיס")</f>
        <v/>
      </c>
      <c r="CQ25" s="11">
        <f>COUNTIF(CQ4:CQ24,"בסיס")</f>
        <v/>
      </c>
      <c r="CR25" s="11">
        <f>COUNTIF(CR4:CR24,"בסיס")</f>
        <v/>
      </c>
      <c r="CS25" s="11">
        <f>COUNTIF(CS4:CS24,"בסיס")</f>
        <v/>
      </c>
      <c r="CT25" s="11">
        <f>COUNTIF(CT4:CT24,"בסיס")</f>
        <v/>
      </c>
      <c r="CU25" s="11">
        <f>COUNTIF(CU4:CU24,"בסיס")</f>
        <v/>
      </c>
      <c r="CV25" s="11">
        <f>COUNTIF(CV4:CV24,"בסיס")</f>
        <v/>
      </c>
      <c r="CW25" s="11">
        <f>COUNTIF(CW4:CW24,"בסיס")</f>
        <v/>
      </c>
      <c r="CX25" s="11">
        <f>COUNTIF(CX4:CX24,"בסיס")</f>
        <v/>
      </c>
    </row>
    <row r="26">
      <c r="A26" s="10" t="inlineStr">
        <is>
          <t>נשקייה בבסיס</t>
        </is>
      </c>
      <c r="D26" s="11">
        <f>COUNTIFS($B$4:$B$24,"*נשקייה*",D4:D24,"בסיס")</f>
        <v/>
      </c>
      <c r="E26" s="11">
        <f>COUNTIFS($B$4:$B$24,"*נשקייה*",E4:E24,"בסיס")</f>
        <v/>
      </c>
      <c r="F26" s="11">
        <f>COUNTIFS($B$4:$B$24,"*נשקייה*",F4:F24,"בסיס")</f>
        <v/>
      </c>
      <c r="G26" s="11">
        <f>COUNTIFS($B$4:$B$24,"*נשקייה*",G4:G24,"בסיס")</f>
        <v/>
      </c>
      <c r="H26" s="11">
        <f>COUNTIFS($B$4:$B$24,"*נשקייה*",H4:H24,"בסיס")</f>
        <v/>
      </c>
      <c r="I26" s="11">
        <f>COUNTIFS($B$4:$B$24,"*נשקייה*",I4:I24,"בסיס")</f>
        <v/>
      </c>
      <c r="J26" s="11">
        <f>COUNTIFS($B$4:$B$24,"*נשקייה*",J4:J24,"בסיס")</f>
        <v/>
      </c>
      <c r="K26" s="11">
        <f>COUNTIFS($B$4:$B$24,"*נשקייה*",K4:K24,"בסיס")</f>
        <v/>
      </c>
      <c r="L26" s="11">
        <f>COUNTIFS($B$4:$B$24,"*נשקייה*",L4:L24,"בסיס")</f>
        <v/>
      </c>
      <c r="M26" s="11">
        <f>COUNTIFS($B$4:$B$24,"*נשקייה*",M4:M24,"בסיס")</f>
        <v/>
      </c>
      <c r="N26" s="11">
        <f>COUNTIFS($B$4:$B$24,"*נשקייה*",N4:N24,"בסיס")</f>
        <v/>
      </c>
      <c r="O26" s="11">
        <f>COUNTIFS($B$4:$B$24,"*נשקייה*",O4:O24,"בסיס")</f>
        <v/>
      </c>
      <c r="P26" s="11">
        <f>COUNTIFS($B$4:$B$24,"*נשקייה*",P4:P24,"בסיס")</f>
        <v/>
      </c>
      <c r="Q26" s="11">
        <f>COUNTIFS($B$4:$B$24,"*נשקייה*",Q4:Q24,"בסיס")</f>
        <v/>
      </c>
      <c r="R26" s="11">
        <f>COUNTIFS($B$4:$B$24,"*נשקייה*",R4:R24,"בסיס")</f>
        <v/>
      </c>
      <c r="S26" s="11">
        <f>COUNTIFS($B$4:$B$24,"*נשקייה*",S4:S24,"בסיס")</f>
        <v/>
      </c>
      <c r="T26" s="11">
        <f>COUNTIFS($B$4:$B$24,"*נשקייה*",T4:T24,"בסיס")</f>
        <v/>
      </c>
      <c r="U26" s="11">
        <f>COUNTIFS($B$4:$B$24,"*נשקייה*",U4:U24,"בסיס")</f>
        <v/>
      </c>
      <c r="V26" s="11">
        <f>COUNTIFS($B$4:$B$24,"*נשקייה*",V4:V24,"בסיס")</f>
        <v/>
      </c>
      <c r="W26" s="11">
        <f>COUNTIFS($B$4:$B$24,"*נשקייה*",W4:W24,"בסיס")</f>
        <v/>
      </c>
      <c r="X26" s="11">
        <f>COUNTIFS($B$4:$B$24,"*נשקייה*",X4:X24,"בסיס")</f>
        <v/>
      </c>
      <c r="Y26" s="11">
        <f>COUNTIFS($B$4:$B$24,"*נשקייה*",Y4:Y24,"בסיס")</f>
        <v/>
      </c>
      <c r="Z26" s="11">
        <f>COUNTIFS($B$4:$B$24,"*נשקייה*",Z4:Z24,"בסיס")</f>
        <v/>
      </c>
      <c r="AA26" s="11">
        <f>COUNTIFS($B$4:$B$24,"*נשקייה*",AA4:AA24,"בסיס")</f>
        <v/>
      </c>
      <c r="AB26" s="11">
        <f>COUNTIFS($B$4:$B$24,"*נשקייה*",AB4:AB24,"בסיס")</f>
        <v/>
      </c>
      <c r="AC26" s="11">
        <f>COUNTIFS($B$4:$B$24,"*נשקייה*",AC4:AC24,"בסיס")</f>
        <v/>
      </c>
      <c r="AD26" s="11">
        <f>COUNTIFS($B$4:$B$24,"*נשקייה*",AD4:AD24,"בסיס")</f>
        <v/>
      </c>
      <c r="AE26" s="11">
        <f>COUNTIFS($B$4:$B$24,"*נשקייה*",AE4:AE24,"בסיס")</f>
        <v/>
      </c>
      <c r="AF26" s="11">
        <f>COUNTIFS($B$4:$B$24,"*נשקייה*",AF4:AF24,"בסיס")</f>
        <v/>
      </c>
      <c r="AG26" s="11">
        <f>COUNTIFS($B$4:$B$24,"*נשקייה*",AG4:AG24,"בסיס")</f>
        <v/>
      </c>
      <c r="AH26" s="11">
        <f>COUNTIFS($B$4:$B$24,"*נשקייה*",AH4:AH24,"בסיס")</f>
        <v/>
      </c>
      <c r="AI26" s="11">
        <f>COUNTIFS($B$4:$B$24,"*נשקייה*",AI4:AI24,"בסיס")</f>
        <v/>
      </c>
      <c r="AJ26" s="11">
        <f>COUNTIFS($B$4:$B$24,"*נשקייה*",AJ4:AJ24,"בסיס")</f>
        <v/>
      </c>
      <c r="AK26" s="11">
        <f>COUNTIFS($B$4:$B$24,"*נשקייה*",AK4:AK24,"בסיס")</f>
        <v/>
      </c>
      <c r="AL26" s="11">
        <f>COUNTIFS($B$4:$B$24,"*נשקייה*",AL4:AL24,"בסיס")</f>
        <v/>
      </c>
      <c r="AM26" s="11">
        <f>COUNTIFS($B$4:$B$24,"*נשקייה*",AM4:AM24,"בסיס")</f>
        <v/>
      </c>
      <c r="AN26" s="11">
        <f>COUNTIFS($B$4:$B$24,"*נשקייה*",AN4:AN24,"בסיס")</f>
        <v/>
      </c>
      <c r="AO26" s="11">
        <f>COUNTIFS($B$4:$B$24,"*נשקייה*",AO4:AO24,"בסיס")</f>
        <v/>
      </c>
      <c r="AP26" s="11">
        <f>COUNTIFS($B$4:$B$24,"*נשקייה*",AP4:AP24,"בסיס")</f>
        <v/>
      </c>
      <c r="AQ26" s="11">
        <f>COUNTIFS($B$4:$B$24,"*נשקייה*",AQ4:AQ24,"בסיס")</f>
        <v/>
      </c>
      <c r="AR26" s="11">
        <f>COUNTIFS($B$4:$B$24,"*נשקייה*",AR4:AR24,"בסיס")</f>
        <v/>
      </c>
      <c r="AS26" s="11">
        <f>COUNTIFS($B$4:$B$24,"*נשקייה*",AS4:AS24,"בסיס")</f>
        <v/>
      </c>
      <c r="AT26" s="11">
        <f>COUNTIFS($B$4:$B$24,"*נשקייה*",AT4:AT24,"בסיס")</f>
        <v/>
      </c>
      <c r="AU26" s="11">
        <f>COUNTIFS($B$4:$B$24,"*נשקייה*",AU4:AU24,"בסיס")</f>
        <v/>
      </c>
      <c r="AV26" s="11">
        <f>COUNTIFS($B$4:$B$24,"*נשקייה*",AV4:AV24,"בסיס")</f>
        <v/>
      </c>
      <c r="AW26" s="11">
        <f>COUNTIFS($B$4:$B$24,"*נשקייה*",AW4:AW24,"בסיס")</f>
        <v/>
      </c>
      <c r="AX26" s="11">
        <f>COUNTIFS($B$4:$B$24,"*נשקייה*",AX4:AX24,"בסיס")</f>
        <v/>
      </c>
      <c r="AY26" s="11">
        <f>COUNTIFS($B$4:$B$24,"*נשקייה*",AY4:AY24,"בסיס")</f>
        <v/>
      </c>
      <c r="AZ26" s="11">
        <f>COUNTIFS($B$4:$B$24,"*נשקייה*",AZ4:AZ24,"בסיס")</f>
        <v/>
      </c>
      <c r="BA26" s="11">
        <f>COUNTIFS($B$4:$B$24,"*נשקייה*",BA4:BA24,"בסיס")</f>
        <v/>
      </c>
      <c r="BB26" s="11">
        <f>COUNTIFS($B$4:$B$24,"*נשקייה*",BB4:BB24,"בסיס")</f>
        <v/>
      </c>
      <c r="BC26" s="11">
        <f>COUNTIFS($B$4:$B$24,"*נשקייה*",BC4:BC24,"בסיס")</f>
        <v/>
      </c>
      <c r="BD26" s="11">
        <f>COUNTIFS($B$4:$B$24,"*נשקייה*",BD4:BD24,"בסיס")</f>
        <v/>
      </c>
      <c r="BE26" s="11">
        <f>COUNTIFS($B$4:$B$24,"*נשקייה*",BE4:BE24,"בסיס")</f>
        <v/>
      </c>
      <c r="BF26" s="11">
        <f>COUNTIFS($B$4:$B$24,"*נשקייה*",BF4:BF24,"בסיס")</f>
        <v/>
      </c>
      <c r="BG26" s="11">
        <f>COUNTIFS($B$4:$B$24,"*נשקייה*",BG4:BG24,"בסיס")</f>
        <v/>
      </c>
      <c r="BH26" s="11">
        <f>COUNTIFS($B$4:$B$24,"*נשקייה*",BH4:BH24,"בסיס")</f>
        <v/>
      </c>
      <c r="BI26" s="11">
        <f>COUNTIFS($B$4:$B$24,"*נשקייה*",BI4:BI24,"בסיס")</f>
        <v/>
      </c>
      <c r="BJ26" s="11">
        <f>COUNTIFS($B$4:$B$24,"*נשקייה*",BJ4:BJ24,"בסיס")</f>
        <v/>
      </c>
      <c r="BK26" s="11">
        <f>COUNTIFS($B$4:$B$24,"*נשקייה*",BK4:BK24,"בסיס")</f>
        <v/>
      </c>
      <c r="BL26" s="11">
        <f>COUNTIFS($B$4:$B$24,"*נשקייה*",BL4:BL24,"בסיס")</f>
        <v/>
      </c>
      <c r="BM26" s="11">
        <f>COUNTIFS($B$4:$B$24,"*נשקייה*",BM4:BM24,"בסיס")</f>
        <v/>
      </c>
      <c r="BN26" s="11">
        <f>COUNTIFS($B$4:$B$24,"*נשקייה*",BN4:BN24,"בסיס")</f>
        <v/>
      </c>
      <c r="BO26" s="11">
        <f>COUNTIFS($B$4:$B$24,"*נשקייה*",BO4:BO24,"בסיס")</f>
        <v/>
      </c>
      <c r="BP26" s="11">
        <f>COUNTIFS($B$4:$B$24,"*נשקייה*",BP4:BP24,"בסיס")</f>
        <v/>
      </c>
      <c r="BQ26" s="11">
        <f>COUNTIFS($B$4:$B$24,"*נשקייה*",BQ4:BQ24,"בסיס")</f>
        <v/>
      </c>
      <c r="BR26" s="11">
        <f>COUNTIFS($B$4:$B$24,"*נשקייה*",BR4:BR24,"בסיס")</f>
        <v/>
      </c>
      <c r="BS26" s="11">
        <f>COUNTIFS($B$4:$B$24,"*נשקייה*",BS4:BS24,"בסיס")</f>
        <v/>
      </c>
      <c r="BT26" s="11">
        <f>COUNTIFS($B$4:$B$24,"*נשקייה*",BT4:BT24,"בסיס")</f>
        <v/>
      </c>
      <c r="BU26" s="11">
        <f>COUNTIFS($B$4:$B$24,"*נשקייה*",BU4:BU24,"בסיס")</f>
        <v/>
      </c>
      <c r="BV26" s="11">
        <f>COUNTIFS($B$4:$B$24,"*נשקייה*",BV4:BV24,"בסיס")</f>
        <v/>
      </c>
      <c r="BW26" s="11">
        <f>COUNTIFS($B$4:$B$24,"*נשקייה*",BW4:BW24,"בסיס")</f>
        <v/>
      </c>
      <c r="BX26" s="11">
        <f>COUNTIFS($B$4:$B$24,"*נשקייה*",BX4:BX24,"בסיס")</f>
        <v/>
      </c>
      <c r="BY26" s="11">
        <f>COUNTIFS($B$4:$B$24,"*נשקייה*",BY4:BY24,"בסיס")</f>
        <v/>
      </c>
      <c r="BZ26" s="11">
        <f>COUNTIFS($B$4:$B$24,"*נשקייה*",BZ4:BZ24,"בסיס")</f>
        <v/>
      </c>
      <c r="CA26" s="11">
        <f>COUNTIFS($B$4:$B$24,"*נשקייה*",CA4:CA24,"בסיס")</f>
        <v/>
      </c>
      <c r="CB26" s="11">
        <f>COUNTIFS($B$4:$B$24,"*נשקייה*",CB4:CB24,"בסיס")</f>
        <v/>
      </c>
      <c r="CC26" s="11">
        <f>COUNTIFS($B$4:$B$24,"*נשקייה*",CC4:CC24,"בסיס")</f>
        <v/>
      </c>
      <c r="CD26" s="11">
        <f>COUNTIFS($B$4:$B$24,"*נשקייה*",CD4:CD24,"בסיס")</f>
        <v/>
      </c>
      <c r="CE26" s="11">
        <f>COUNTIFS($B$4:$B$24,"*נשקייה*",CE4:CE24,"בסיס")</f>
        <v/>
      </c>
      <c r="CF26" s="11">
        <f>COUNTIFS($B$4:$B$24,"*נשקייה*",CF4:CF24,"בסיס")</f>
        <v/>
      </c>
      <c r="CG26" s="11">
        <f>COUNTIFS($B$4:$B$24,"*נשקייה*",CG4:CG24,"בסיס")</f>
        <v/>
      </c>
      <c r="CH26" s="11">
        <f>COUNTIFS($B$4:$B$24,"*נשקייה*",CH4:CH24,"בסיס")</f>
        <v/>
      </c>
      <c r="CI26" s="11">
        <f>COUNTIFS($B$4:$B$24,"*נשקייה*",CI4:CI24,"בסיס")</f>
        <v/>
      </c>
      <c r="CJ26" s="11">
        <f>COUNTIFS($B$4:$B$24,"*נשקייה*",CJ4:CJ24,"בסיס")</f>
        <v/>
      </c>
      <c r="CK26" s="11">
        <f>COUNTIFS($B$4:$B$24,"*נשקייה*",CK4:CK24,"בסיס")</f>
        <v/>
      </c>
      <c r="CL26" s="11">
        <f>COUNTIFS($B$4:$B$24,"*נשקייה*",CL4:CL24,"בסיס")</f>
        <v/>
      </c>
      <c r="CM26" s="11">
        <f>COUNTIFS($B$4:$B$24,"*נשקייה*",CM4:CM24,"בסיס")</f>
        <v/>
      </c>
      <c r="CN26" s="11">
        <f>COUNTIFS($B$4:$B$24,"*נשקייה*",CN4:CN24,"בסיס")</f>
        <v/>
      </c>
      <c r="CO26" s="11">
        <f>COUNTIFS($B$4:$B$24,"*נשקייה*",CO4:CO24,"בסיס")</f>
        <v/>
      </c>
      <c r="CP26" s="11">
        <f>COUNTIFS($B$4:$B$24,"*נשקייה*",CP4:CP24,"בסיס")</f>
        <v/>
      </c>
      <c r="CQ26" s="11">
        <f>COUNTIFS($B$4:$B$24,"*נשקייה*",CQ4:CQ24,"בסיס")</f>
        <v/>
      </c>
      <c r="CR26" s="11">
        <f>COUNTIFS($B$4:$B$24,"*נשקייה*",CR4:CR24,"בסיס")</f>
        <v/>
      </c>
      <c r="CS26" s="11">
        <f>COUNTIFS($B$4:$B$24,"*נשקייה*",CS4:CS24,"בסיס")</f>
        <v/>
      </c>
      <c r="CT26" s="11">
        <f>COUNTIFS($B$4:$B$24,"*נשקייה*",CT4:CT24,"בסיס")</f>
        <v/>
      </c>
      <c r="CU26" s="11">
        <f>COUNTIFS($B$4:$B$24,"*נשקייה*",CU4:CU24,"בסיס")</f>
        <v/>
      </c>
      <c r="CV26" s="11">
        <f>COUNTIFS($B$4:$B$24,"*נשקייה*",CV4:CV24,"בסיס")</f>
        <v/>
      </c>
      <c r="CW26" s="11">
        <f>COUNTIFS($B$4:$B$24,"*נשקייה*",CW4:CW24,"בסיס")</f>
        <v/>
      </c>
      <c r="CX26" s="11">
        <f>COUNTIFS($B$4:$B$24,"*נשקייה*",CX4:CX24,"בסיס")</f>
        <v/>
      </c>
    </row>
    <row r="27">
      <c r="A27" s="10" t="inlineStr">
        <is>
          <t>אפסנאות בבסיס</t>
        </is>
      </c>
      <c r="D27" s="11">
        <f>COUNTIFS($B$4:$B$24,"*אפסנאות*",D4:D24,"בסיס")</f>
        <v/>
      </c>
      <c r="E27" s="11">
        <f>COUNTIFS($B$4:$B$24,"*אפסנאות*",E4:E24,"בסיס")</f>
        <v/>
      </c>
      <c r="F27" s="11">
        <f>COUNTIFS($B$4:$B$24,"*אפסנאות*",F4:F24,"בסיס")</f>
        <v/>
      </c>
      <c r="G27" s="11">
        <f>COUNTIFS($B$4:$B$24,"*אפסנאות*",G4:G24,"בסיס")</f>
        <v/>
      </c>
      <c r="H27" s="11">
        <f>COUNTIFS($B$4:$B$24,"*אפסנאות*",H4:H24,"בסיס")</f>
        <v/>
      </c>
      <c r="I27" s="11">
        <f>COUNTIFS($B$4:$B$24,"*אפסנאות*",I4:I24,"בסיס")</f>
        <v/>
      </c>
      <c r="J27" s="11">
        <f>COUNTIFS($B$4:$B$24,"*אפסנאות*",J4:J24,"בסיס")</f>
        <v/>
      </c>
      <c r="K27" s="11">
        <f>COUNTIFS($B$4:$B$24,"*אפסנאות*",K4:K24,"בסיס")</f>
        <v/>
      </c>
      <c r="L27" s="11">
        <f>COUNTIFS($B$4:$B$24,"*אפסנאות*",L4:L24,"בסיס")</f>
        <v/>
      </c>
      <c r="M27" s="11">
        <f>COUNTIFS($B$4:$B$24,"*אפסנאות*",M4:M24,"בסיס")</f>
        <v/>
      </c>
      <c r="N27" s="11">
        <f>COUNTIFS($B$4:$B$24,"*אפסנאות*",N4:N24,"בסיס")</f>
        <v/>
      </c>
      <c r="O27" s="11">
        <f>COUNTIFS($B$4:$B$24,"*אפסנאות*",O4:O24,"בסיס")</f>
        <v/>
      </c>
      <c r="P27" s="11">
        <f>COUNTIFS($B$4:$B$24,"*אפסנאות*",P4:P24,"בסיס")</f>
        <v/>
      </c>
      <c r="Q27" s="11">
        <f>COUNTIFS($B$4:$B$24,"*אפסנאות*",Q4:Q24,"בסיס")</f>
        <v/>
      </c>
      <c r="R27" s="11">
        <f>COUNTIFS($B$4:$B$24,"*אפסנאות*",R4:R24,"בסיס")</f>
        <v/>
      </c>
      <c r="S27" s="11">
        <f>COUNTIFS($B$4:$B$24,"*אפסנאות*",S4:S24,"בסיס")</f>
        <v/>
      </c>
      <c r="T27" s="11">
        <f>COUNTIFS($B$4:$B$24,"*אפסנאות*",T4:T24,"בסיס")</f>
        <v/>
      </c>
      <c r="U27" s="11">
        <f>COUNTIFS($B$4:$B$24,"*אפסנאות*",U4:U24,"בסיס")</f>
        <v/>
      </c>
      <c r="V27" s="11">
        <f>COUNTIFS($B$4:$B$24,"*אפסנאות*",V4:V24,"בסיס")</f>
        <v/>
      </c>
      <c r="W27" s="11">
        <f>COUNTIFS($B$4:$B$24,"*אפסנאות*",W4:W24,"בסיס")</f>
        <v/>
      </c>
      <c r="X27" s="11">
        <f>COUNTIFS($B$4:$B$24,"*אפסנאות*",X4:X24,"בסיס")</f>
        <v/>
      </c>
      <c r="Y27" s="11">
        <f>COUNTIFS($B$4:$B$24,"*אפסנאות*",Y4:Y24,"בסיס")</f>
        <v/>
      </c>
      <c r="Z27" s="11">
        <f>COUNTIFS($B$4:$B$24,"*אפסנאות*",Z4:Z24,"בסיס")</f>
        <v/>
      </c>
      <c r="AA27" s="11">
        <f>COUNTIFS($B$4:$B$24,"*אפסנאות*",AA4:AA24,"בסיס")</f>
        <v/>
      </c>
      <c r="AB27" s="11">
        <f>COUNTIFS($B$4:$B$24,"*אפסנאות*",AB4:AB24,"בסיס")</f>
        <v/>
      </c>
      <c r="AC27" s="11">
        <f>COUNTIFS($B$4:$B$24,"*אפסנאות*",AC4:AC24,"בסיס")</f>
        <v/>
      </c>
      <c r="AD27" s="11">
        <f>COUNTIFS($B$4:$B$24,"*אפסנאות*",AD4:AD24,"בסיס")</f>
        <v/>
      </c>
      <c r="AE27" s="11">
        <f>COUNTIFS($B$4:$B$24,"*אפסנאות*",AE4:AE24,"בסיס")</f>
        <v/>
      </c>
      <c r="AF27" s="11">
        <f>COUNTIFS($B$4:$B$24,"*אפסנאות*",AF4:AF24,"בסיס")</f>
        <v/>
      </c>
      <c r="AG27" s="11">
        <f>COUNTIFS($B$4:$B$24,"*אפסנאות*",AG4:AG24,"בסיס")</f>
        <v/>
      </c>
      <c r="AH27" s="11">
        <f>COUNTIFS($B$4:$B$24,"*אפסנאות*",AH4:AH24,"בסיס")</f>
        <v/>
      </c>
      <c r="AI27" s="11">
        <f>COUNTIFS($B$4:$B$24,"*אפסנאות*",AI4:AI24,"בסיס")</f>
        <v/>
      </c>
      <c r="AJ27" s="11">
        <f>COUNTIFS($B$4:$B$24,"*אפסנאות*",AJ4:AJ24,"בסיס")</f>
        <v/>
      </c>
      <c r="AK27" s="11">
        <f>COUNTIFS($B$4:$B$24,"*אפסנאות*",AK4:AK24,"בסיס")</f>
        <v/>
      </c>
      <c r="AL27" s="11">
        <f>COUNTIFS($B$4:$B$24,"*אפסנאות*",AL4:AL24,"בסיס")</f>
        <v/>
      </c>
      <c r="AM27" s="11">
        <f>COUNTIFS($B$4:$B$24,"*אפסנאות*",AM4:AM24,"בסיס")</f>
        <v/>
      </c>
      <c r="AN27" s="11">
        <f>COUNTIFS($B$4:$B$24,"*אפסנאות*",AN4:AN24,"בסיס")</f>
        <v/>
      </c>
      <c r="AO27" s="11">
        <f>COUNTIFS($B$4:$B$24,"*אפסנאות*",AO4:AO24,"בסיס")</f>
        <v/>
      </c>
      <c r="AP27" s="11">
        <f>COUNTIFS($B$4:$B$24,"*אפסנאות*",AP4:AP24,"בסיס")</f>
        <v/>
      </c>
      <c r="AQ27" s="11">
        <f>COUNTIFS($B$4:$B$24,"*אפסנאות*",AQ4:AQ24,"בסיס")</f>
        <v/>
      </c>
      <c r="AR27" s="11">
        <f>COUNTIFS($B$4:$B$24,"*אפסנאות*",AR4:AR24,"בסיס")</f>
        <v/>
      </c>
      <c r="AS27" s="11">
        <f>COUNTIFS($B$4:$B$24,"*אפסנאות*",AS4:AS24,"בסיס")</f>
        <v/>
      </c>
      <c r="AT27" s="11">
        <f>COUNTIFS($B$4:$B$24,"*אפסנאות*",AT4:AT24,"בסיס")</f>
        <v/>
      </c>
      <c r="AU27" s="11">
        <f>COUNTIFS($B$4:$B$24,"*אפסנאות*",AU4:AU24,"בסיס")</f>
        <v/>
      </c>
      <c r="AV27" s="11">
        <f>COUNTIFS($B$4:$B$24,"*אפסנאות*",AV4:AV24,"בסיס")</f>
        <v/>
      </c>
      <c r="AW27" s="11">
        <f>COUNTIFS($B$4:$B$24,"*אפסנאות*",AW4:AW24,"בסיס")</f>
        <v/>
      </c>
      <c r="AX27" s="11">
        <f>COUNTIFS($B$4:$B$24,"*אפסנאות*",AX4:AX24,"בסיס")</f>
        <v/>
      </c>
      <c r="AY27" s="11">
        <f>COUNTIFS($B$4:$B$24,"*אפסנאות*",AY4:AY24,"בסיס")</f>
        <v/>
      </c>
      <c r="AZ27" s="11">
        <f>COUNTIFS($B$4:$B$24,"*אפסנאות*",AZ4:AZ24,"בסיס")</f>
        <v/>
      </c>
      <c r="BA27" s="11">
        <f>COUNTIFS($B$4:$B$24,"*אפסנאות*",BA4:BA24,"בסיס")</f>
        <v/>
      </c>
      <c r="BB27" s="11">
        <f>COUNTIFS($B$4:$B$24,"*אפסנאות*",BB4:BB24,"בסיס")</f>
        <v/>
      </c>
      <c r="BC27" s="11">
        <f>COUNTIFS($B$4:$B$24,"*אפסנאות*",BC4:BC24,"בסיס")</f>
        <v/>
      </c>
      <c r="BD27" s="11">
        <f>COUNTIFS($B$4:$B$24,"*אפסנאות*",BD4:BD24,"בסיס")</f>
        <v/>
      </c>
      <c r="BE27" s="11">
        <f>COUNTIFS($B$4:$B$24,"*אפסנאות*",BE4:BE24,"בסיס")</f>
        <v/>
      </c>
      <c r="BF27" s="11">
        <f>COUNTIFS($B$4:$B$24,"*אפסנאות*",BF4:BF24,"בסיס")</f>
        <v/>
      </c>
      <c r="BG27" s="11">
        <f>COUNTIFS($B$4:$B$24,"*אפסנאות*",BG4:BG24,"בסיס")</f>
        <v/>
      </c>
      <c r="BH27" s="11">
        <f>COUNTIFS($B$4:$B$24,"*אפסנאות*",BH4:BH24,"בסיס")</f>
        <v/>
      </c>
      <c r="BI27" s="11">
        <f>COUNTIFS($B$4:$B$24,"*אפסנאות*",BI4:BI24,"בסיס")</f>
        <v/>
      </c>
      <c r="BJ27" s="11">
        <f>COUNTIFS($B$4:$B$24,"*אפסנאות*",BJ4:BJ24,"בסיס")</f>
        <v/>
      </c>
      <c r="BK27" s="11">
        <f>COUNTIFS($B$4:$B$24,"*אפסנאות*",BK4:BK24,"בסיס")</f>
        <v/>
      </c>
      <c r="BL27" s="11">
        <f>COUNTIFS($B$4:$B$24,"*אפסנאות*",BL4:BL24,"בסיס")</f>
        <v/>
      </c>
      <c r="BM27" s="11">
        <f>COUNTIFS($B$4:$B$24,"*אפסנאות*",BM4:BM24,"בסיס")</f>
        <v/>
      </c>
      <c r="BN27" s="11">
        <f>COUNTIFS($B$4:$B$24,"*אפסנאות*",BN4:BN24,"בסיס")</f>
        <v/>
      </c>
      <c r="BO27" s="11">
        <f>COUNTIFS($B$4:$B$24,"*אפסנאות*",BO4:BO24,"בסיס")</f>
        <v/>
      </c>
      <c r="BP27" s="11">
        <f>COUNTIFS($B$4:$B$24,"*אפסנאות*",BP4:BP24,"בסיס")</f>
        <v/>
      </c>
      <c r="BQ27" s="11">
        <f>COUNTIFS($B$4:$B$24,"*אפסנאות*",BQ4:BQ24,"בסיס")</f>
        <v/>
      </c>
      <c r="BR27" s="11">
        <f>COUNTIFS($B$4:$B$24,"*אפסנאות*",BR4:BR24,"בסיס")</f>
        <v/>
      </c>
      <c r="BS27" s="11">
        <f>COUNTIFS($B$4:$B$24,"*אפסנאות*",BS4:BS24,"בסיס")</f>
        <v/>
      </c>
      <c r="BT27" s="11">
        <f>COUNTIFS($B$4:$B$24,"*אפסנאות*",BT4:BT24,"בסיס")</f>
        <v/>
      </c>
      <c r="BU27" s="11">
        <f>COUNTIFS($B$4:$B$24,"*אפסנאות*",BU4:BU24,"בסיס")</f>
        <v/>
      </c>
      <c r="BV27" s="11">
        <f>COUNTIFS($B$4:$B$24,"*אפסנאות*",BV4:BV24,"בסיס")</f>
        <v/>
      </c>
      <c r="BW27" s="11">
        <f>COUNTIFS($B$4:$B$24,"*אפסנאות*",BW4:BW24,"בסיס")</f>
        <v/>
      </c>
      <c r="BX27" s="11">
        <f>COUNTIFS($B$4:$B$24,"*אפסנאות*",BX4:BX24,"בסיס")</f>
        <v/>
      </c>
      <c r="BY27" s="11">
        <f>COUNTIFS($B$4:$B$24,"*אפסנאות*",BY4:BY24,"בסיס")</f>
        <v/>
      </c>
      <c r="BZ27" s="11">
        <f>COUNTIFS($B$4:$B$24,"*אפסנאות*",BZ4:BZ24,"בסיס")</f>
        <v/>
      </c>
      <c r="CA27" s="11">
        <f>COUNTIFS($B$4:$B$24,"*אפסנאות*",CA4:CA24,"בסיס")</f>
        <v/>
      </c>
      <c r="CB27" s="11">
        <f>COUNTIFS($B$4:$B$24,"*אפסנאות*",CB4:CB24,"בסיס")</f>
        <v/>
      </c>
      <c r="CC27" s="11">
        <f>COUNTIFS($B$4:$B$24,"*אפסנאות*",CC4:CC24,"בסיס")</f>
        <v/>
      </c>
      <c r="CD27" s="11">
        <f>COUNTIFS($B$4:$B$24,"*אפסנאות*",CD4:CD24,"בסיס")</f>
        <v/>
      </c>
      <c r="CE27" s="11">
        <f>COUNTIFS($B$4:$B$24,"*אפסנאות*",CE4:CE24,"בסיס")</f>
        <v/>
      </c>
      <c r="CF27" s="11">
        <f>COUNTIFS($B$4:$B$24,"*אפסנאות*",CF4:CF24,"בסיס")</f>
        <v/>
      </c>
      <c r="CG27" s="11">
        <f>COUNTIFS($B$4:$B$24,"*אפסנאות*",CG4:CG24,"בסיס")</f>
        <v/>
      </c>
      <c r="CH27" s="11">
        <f>COUNTIFS($B$4:$B$24,"*אפסנאות*",CH4:CH24,"בסיס")</f>
        <v/>
      </c>
      <c r="CI27" s="11">
        <f>COUNTIFS($B$4:$B$24,"*אפסנאות*",CI4:CI24,"בסיס")</f>
        <v/>
      </c>
      <c r="CJ27" s="11">
        <f>COUNTIFS($B$4:$B$24,"*אפסנאות*",CJ4:CJ24,"בסיס")</f>
        <v/>
      </c>
      <c r="CK27" s="11">
        <f>COUNTIFS($B$4:$B$24,"*אפסנאות*",CK4:CK24,"בסיס")</f>
        <v/>
      </c>
      <c r="CL27" s="11">
        <f>COUNTIFS($B$4:$B$24,"*אפסנאות*",CL4:CL24,"בסיס")</f>
        <v/>
      </c>
      <c r="CM27" s="11">
        <f>COUNTIFS($B$4:$B$24,"*אפסנאות*",CM4:CM24,"בסיס")</f>
        <v/>
      </c>
      <c r="CN27" s="11">
        <f>COUNTIFS($B$4:$B$24,"*אפסנאות*",CN4:CN24,"בסיס")</f>
        <v/>
      </c>
      <c r="CO27" s="11">
        <f>COUNTIFS($B$4:$B$24,"*אפסנאות*",CO4:CO24,"בסיס")</f>
        <v/>
      </c>
      <c r="CP27" s="11">
        <f>COUNTIFS($B$4:$B$24,"*אפסנאות*",CP4:CP24,"בסיס")</f>
        <v/>
      </c>
      <c r="CQ27" s="11">
        <f>COUNTIFS($B$4:$B$24,"*אפסנאות*",CQ4:CQ24,"בסיס")</f>
        <v/>
      </c>
      <c r="CR27" s="11">
        <f>COUNTIFS($B$4:$B$24,"*אפסנאות*",CR4:CR24,"בסיס")</f>
        <v/>
      </c>
      <c r="CS27" s="11">
        <f>COUNTIFS($B$4:$B$24,"*אפסנאות*",CS4:CS24,"בסיס")</f>
        <v/>
      </c>
      <c r="CT27" s="11">
        <f>COUNTIFS($B$4:$B$24,"*אפסנאות*",CT4:CT24,"בסיס")</f>
        <v/>
      </c>
      <c r="CU27" s="11">
        <f>COUNTIFS($B$4:$B$24,"*אפסנאות*",CU4:CU24,"בסיס")</f>
        <v/>
      </c>
      <c r="CV27" s="11">
        <f>COUNTIFS($B$4:$B$24,"*אפסנאות*",CV4:CV24,"בסיס")</f>
        <v/>
      </c>
      <c r="CW27" s="11">
        <f>COUNTIFS($B$4:$B$24,"*אפסנאות*",CW4:CW24,"בסיס")</f>
        <v/>
      </c>
      <c r="CX27" s="11">
        <f>COUNTIFS($B$4:$B$24,"*אפסנאות*",CX4:CX24,"בסיס")</f>
        <v/>
      </c>
    </row>
    <row r="28">
      <c r="A28" s="10" t="inlineStr">
        <is>
          <t>סה"כ בבית</t>
        </is>
      </c>
      <c r="D28" s="11">
        <f>COUNTIF(D4:D24,"בית")</f>
        <v/>
      </c>
      <c r="E28" s="11">
        <f>COUNTIF(E4:E24,"בית")</f>
        <v/>
      </c>
      <c r="F28" s="11">
        <f>COUNTIF(F4:F24,"בית")</f>
        <v/>
      </c>
      <c r="G28" s="11">
        <f>COUNTIF(G4:G24,"בית")</f>
        <v/>
      </c>
      <c r="H28" s="11">
        <f>COUNTIF(H4:H24,"בית")</f>
        <v/>
      </c>
      <c r="I28" s="11">
        <f>COUNTIF(I4:I24,"בית")</f>
        <v/>
      </c>
      <c r="J28" s="11">
        <f>COUNTIF(J4:J24,"בית")</f>
        <v/>
      </c>
      <c r="K28" s="11">
        <f>COUNTIF(K4:K24,"בית")</f>
        <v/>
      </c>
      <c r="L28" s="11">
        <f>COUNTIF(L4:L24,"בית")</f>
        <v/>
      </c>
      <c r="M28" s="11">
        <f>COUNTIF(M4:M24,"בית")</f>
        <v/>
      </c>
      <c r="N28" s="11">
        <f>COUNTIF(N4:N24,"בית")</f>
        <v/>
      </c>
      <c r="O28" s="11">
        <f>COUNTIF(O4:O24,"בית")</f>
        <v/>
      </c>
      <c r="P28" s="11">
        <f>COUNTIF(P4:P24,"בית")</f>
        <v/>
      </c>
      <c r="Q28" s="11">
        <f>COUNTIF(Q4:Q24,"בית")</f>
        <v/>
      </c>
      <c r="R28" s="11">
        <f>COUNTIF(R4:R24,"בית")</f>
        <v/>
      </c>
      <c r="S28" s="11">
        <f>COUNTIF(S4:S24,"בית")</f>
        <v/>
      </c>
      <c r="T28" s="11">
        <f>COUNTIF(T4:T24,"בית")</f>
        <v/>
      </c>
      <c r="U28" s="11">
        <f>COUNTIF(U4:U24,"בית")</f>
        <v/>
      </c>
      <c r="V28" s="11">
        <f>COUNTIF(V4:V24,"בית")</f>
        <v/>
      </c>
      <c r="W28" s="11">
        <f>COUNTIF(W4:W24,"בית")</f>
        <v/>
      </c>
      <c r="X28" s="11">
        <f>COUNTIF(X4:X24,"בית")</f>
        <v/>
      </c>
      <c r="Y28" s="11">
        <f>COUNTIF(Y4:Y24,"בית")</f>
        <v/>
      </c>
      <c r="Z28" s="11">
        <f>COUNTIF(Z4:Z24,"בית")</f>
        <v/>
      </c>
      <c r="AA28" s="11">
        <f>COUNTIF(AA4:AA24,"בית")</f>
        <v/>
      </c>
      <c r="AB28" s="11">
        <f>COUNTIF(AB4:AB24,"בית")</f>
        <v/>
      </c>
      <c r="AC28" s="11">
        <f>COUNTIF(AC4:AC24,"בית")</f>
        <v/>
      </c>
      <c r="AD28" s="11">
        <f>COUNTIF(AD4:AD24,"בית")</f>
        <v/>
      </c>
      <c r="AE28" s="11">
        <f>COUNTIF(AE4:AE24,"בית")</f>
        <v/>
      </c>
      <c r="AF28" s="11">
        <f>COUNTIF(AF4:AF24,"בית")</f>
        <v/>
      </c>
      <c r="AG28" s="11">
        <f>COUNTIF(AG4:AG24,"בית")</f>
        <v/>
      </c>
      <c r="AH28" s="11">
        <f>COUNTIF(AH4:AH24,"בית")</f>
        <v/>
      </c>
      <c r="AI28" s="11">
        <f>COUNTIF(AI4:AI24,"בית")</f>
        <v/>
      </c>
      <c r="AJ28" s="11">
        <f>COUNTIF(AJ4:AJ24,"בית")</f>
        <v/>
      </c>
      <c r="AK28" s="11">
        <f>COUNTIF(AK4:AK24,"בית")</f>
        <v/>
      </c>
      <c r="AL28" s="11">
        <f>COUNTIF(AL4:AL24,"בית")</f>
        <v/>
      </c>
      <c r="AM28" s="11">
        <f>COUNTIF(AM4:AM24,"בית")</f>
        <v/>
      </c>
      <c r="AN28" s="11">
        <f>COUNTIF(AN4:AN24,"בית")</f>
        <v/>
      </c>
      <c r="AO28" s="11">
        <f>COUNTIF(AO4:AO24,"בית")</f>
        <v/>
      </c>
      <c r="AP28" s="11">
        <f>COUNTIF(AP4:AP24,"בית")</f>
        <v/>
      </c>
      <c r="AQ28" s="11">
        <f>COUNTIF(AQ4:AQ24,"בית")</f>
        <v/>
      </c>
      <c r="AR28" s="11">
        <f>COUNTIF(AR4:AR24,"בית")</f>
        <v/>
      </c>
      <c r="AS28" s="11">
        <f>COUNTIF(AS4:AS24,"בית")</f>
        <v/>
      </c>
      <c r="AT28" s="11">
        <f>COUNTIF(AT4:AT24,"בית")</f>
        <v/>
      </c>
      <c r="AU28" s="11">
        <f>COUNTIF(AU4:AU24,"בית")</f>
        <v/>
      </c>
      <c r="AV28" s="11">
        <f>COUNTIF(AV4:AV24,"בית")</f>
        <v/>
      </c>
      <c r="AW28" s="11">
        <f>COUNTIF(AW4:AW24,"בית")</f>
        <v/>
      </c>
      <c r="AX28" s="11">
        <f>COUNTIF(AX4:AX24,"בית")</f>
        <v/>
      </c>
      <c r="AY28" s="11">
        <f>COUNTIF(AY4:AY24,"בית")</f>
        <v/>
      </c>
      <c r="AZ28" s="11">
        <f>COUNTIF(AZ4:AZ24,"בית")</f>
        <v/>
      </c>
      <c r="BA28" s="11">
        <f>COUNTIF(BA4:BA24,"בית")</f>
        <v/>
      </c>
      <c r="BB28" s="11">
        <f>COUNTIF(BB4:BB24,"בית")</f>
        <v/>
      </c>
      <c r="BC28" s="11">
        <f>COUNTIF(BC4:BC24,"בית")</f>
        <v/>
      </c>
      <c r="BD28" s="11">
        <f>COUNTIF(BD4:BD24,"בית")</f>
        <v/>
      </c>
      <c r="BE28" s="11">
        <f>COUNTIF(BE4:BE24,"בית")</f>
        <v/>
      </c>
      <c r="BF28" s="11">
        <f>COUNTIF(BF4:BF24,"בית")</f>
        <v/>
      </c>
      <c r="BG28" s="11">
        <f>COUNTIF(BG4:BG24,"בית")</f>
        <v/>
      </c>
      <c r="BH28" s="11">
        <f>COUNTIF(BH4:BH24,"בית")</f>
        <v/>
      </c>
      <c r="BI28" s="11">
        <f>COUNTIF(BI4:BI24,"בית")</f>
        <v/>
      </c>
      <c r="BJ28" s="11">
        <f>COUNTIF(BJ4:BJ24,"בית")</f>
        <v/>
      </c>
      <c r="BK28" s="11">
        <f>COUNTIF(BK4:BK24,"בית")</f>
        <v/>
      </c>
      <c r="BL28" s="11">
        <f>COUNTIF(BL4:BL24,"בית")</f>
        <v/>
      </c>
      <c r="BM28" s="11">
        <f>COUNTIF(BM4:BM24,"בית")</f>
        <v/>
      </c>
      <c r="BN28" s="11">
        <f>COUNTIF(BN4:BN24,"בית")</f>
        <v/>
      </c>
      <c r="BO28" s="11">
        <f>COUNTIF(BO4:BO24,"בית")</f>
        <v/>
      </c>
      <c r="BP28" s="11">
        <f>COUNTIF(BP4:BP24,"בית")</f>
        <v/>
      </c>
      <c r="BQ28" s="11">
        <f>COUNTIF(BQ4:BQ24,"בית")</f>
        <v/>
      </c>
      <c r="BR28" s="11">
        <f>COUNTIF(BR4:BR24,"בית")</f>
        <v/>
      </c>
      <c r="BS28" s="11">
        <f>COUNTIF(BS4:BS24,"בית")</f>
        <v/>
      </c>
      <c r="BT28" s="11">
        <f>COUNTIF(BT4:BT24,"בית")</f>
        <v/>
      </c>
      <c r="BU28" s="11">
        <f>COUNTIF(BU4:BU24,"בית")</f>
        <v/>
      </c>
      <c r="BV28" s="11">
        <f>COUNTIF(BV4:BV24,"בית")</f>
        <v/>
      </c>
      <c r="BW28" s="11">
        <f>COUNTIF(BW4:BW24,"בית")</f>
        <v/>
      </c>
      <c r="BX28" s="11">
        <f>COUNTIF(BX4:BX24,"בית")</f>
        <v/>
      </c>
      <c r="BY28" s="11">
        <f>COUNTIF(BY4:BY24,"בית")</f>
        <v/>
      </c>
      <c r="BZ28" s="11">
        <f>COUNTIF(BZ4:BZ24,"בית")</f>
        <v/>
      </c>
      <c r="CA28" s="11">
        <f>COUNTIF(CA4:CA24,"בית")</f>
        <v/>
      </c>
      <c r="CB28" s="11">
        <f>COUNTIF(CB4:CB24,"בית")</f>
        <v/>
      </c>
      <c r="CC28" s="11">
        <f>COUNTIF(CC4:CC24,"בית")</f>
        <v/>
      </c>
      <c r="CD28" s="11">
        <f>COUNTIF(CD4:CD24,"בית")</f>
        <v/>
      </c>
      <c r="CE28" s="11">
        <f>COUNTIF(CE4:CE24,"בית")</f>
        <v/>
      </c>
      <c r="CF28" s="11">
        <f>COUNTIF(CF4:CF24,"בית")</f>
        <v/>
      </c>
      <c r="CG28" s="11">
        <f>COUNTIF(CG4:CG24,"בית")</f>
        <v/>
      </c>
      <c r="CH28" s="11">
        <f>COUNTIF(CH4:CH24,"בית")</f>
        <v/>
      </c>
      <c r="CI28" s="11">
        <f>COUNTIF(CI4:CI24,"בית")</f>
        <v/>
      </c>
      <c r="CJ28" s="11">
        <f>COUNTIF(CJ4:CJ24,"בית")</f>
        <v/>
      </c>
      <c r="CK28" s="11">
        <f>COUNTIF(CK4:CK24,"בית")</f>
        <v/>
      </c>
      <c r="CL28" s="11">
        <f>COUNTIF(CL4:CL24,"בית")</f>
        <v/>
      </c>
      <c r="CM28" s="11">
        <f>COUNTIF(CM4:CM24,"בית")</f>
        <v/>
      </c>
      <c r="CN28" s="11">
        <f>COUNTIF(CN4:CN24,"בית")</f>
        <v/>
      </c>
      <c r="CO28" s="11">
        <f>COUNTIF(CO4:CO24,"בית")</f>
        <v/>
      </c>
      <c r="CP28" s="11">
        <f>COUNTIF(CP4:CP24,"בית")</f>
        <v/>
      </c>
      <c r="CQ28" s="11">
        <f>COUNTIF(CQ4:CQ24,"בית")</f>
        <v/>
      </c>
      <c r="CR28" s="11">
        <f>COUNTIF(CR4:CR24,"בית")</f>
        <v/>
      </c>
      <c r="CS28" s="11">
        <f>COUNTIF(CS4:CS24,"בית")</f>
        <v/>
      </c>
      <c r="CT28" s="11">
        <f>COUNTIF(CT4:CT24,"בית")</f>
        <v/>
      </c>
      <c r="CU28" s="11">
        <f>COUNTIF(CU4:CU24,"בית")</f>
        <v/>
      </c>
      <c r="CV28" s="11">
        <f>COUNTIF(CV4:CV24,"בית")</f>
        <v/>
      </c>
      <c r="CW28" s="11">
        <f>COUNTIF(CW4:CW24,"בית")</f>
        <v/>
      </c>
      <c r="CX28" s="11">
        <f>COUNTIF(CX4:CX24,"בית")</f>
        <v/>
      </c>
    </row>
    <row r="30" hidden="1">
      <c r="A30" t="inlineStr">
        <is>
          <t>[דגל שבת]</t>
        </is>
      </c>
      <c r="D30" t="n">
        <v>0</v>
      </c>
      <c r="E30" t="n">
        <v>0</v>
      </c>
      <c r="F30" t="n">
        <v>0</v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1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1</v>
      </c>
      <c r="AC30" t="n">
        <v>0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1</v>
      </c>
      <c r="AJ30" t="n">
        <v>0</v>
      </c>
      <c r="AK30" t="n">
        <v>0</v>
      </c>
      <c r="AL30" t="n">
        <v>0</v>
      </c>
      <c r="AM30" t="n">
        <v>0</v>
      </c>
      <c r="AN30" t="n">
        <v>0</v>
      </c>
      <c r="AO30" t="n">
        <v>0</v>
      </c>
      <c r="AP30" t="n">
        <v>1</v>
      </c>
      <c r="AQ30" t="n">
        <v>0</v>
      </c>
      <c r="AR30" t="n">
        <v>0</v>
      </c>
      <c r="AS30" t="n">
        <v>0</v>
      </c>
      <c r="AT30" t="n">
        <v>0</v>
      </c>
      <c r="AU30" t="n">
        <v>0</v>
      </c>
      <c r="AV30" t="n">
        <v>0</v>
      </c>
      <c r="AW30" t="n">
        <v>1</v>
      </c>
      <c r="AX30" t="n">
        <v>0</v>
      </c>
      <c r="AY30" t="n">
        <v>0</v>
      </c>
      <c r="AZ30" t="n">
        <v>0</v>
      </c>
      <c r="BA30" t="n">
        <v>0</v>
      </c>
      <c r="BB30" t="n">
        <v>0</v>
      </c>
      <c r="BC30" t="n">
        <v>0</v>
      </c>
      <c r="BD30" t="n">
        <v>1</v>
      </c>
      <c r="BE30" t="n">
        <v>0</v>
      </c>
      <c r="BF30" t="n">
        <v>0</v>
      </c>
      <c r="BG30" t="n">
        <v>0</v>
      </c>
      <c r="BH30" t="n">
        <v>0</v>
      </c>
      <c r="BI30" t="n">
        <v>0</v>
      </c>
      <c r="BJ30" t="n">
        <v>0</v>
      </c>
      <c r="BK30" t="n">
        <v>1</v>
      </c>
      <c r="BL30" t="n">
        <v>0</v>
      </c>
      <c r="BM30" t="n">
        <v>0</v>
      </c>
      <c r="BN30" t="n">
        <v>0</v>
      </c>
      <c r="BO30" t="n">
        <v>0</v>
      </c>
      <c r="BP30" t="n">
        <v>0</v>
      </c>
      <c r="BQ30" t="n">
        <v>0</v>
      </c>
      <c r="BR30" t="n">
        <v>1</v>
      </c>
      <c r="BS30" t="n">
        <v>0</v>
      </c>
      <c r="BT30" t="n">
        <v>0</v>
      </c>
      <c r="BU30" t="n">
        <v>0</v>
      </c>
      <c r="BV30" t="n">
        <v>0</v>
      </c>
      <c r="BW30" t="n">
        <v>0</v>
      </c>
      <c r="BX30" t="n">
        <v>0</v>
      </c>
      <c r="BY30" t="n">
        <v>1</v>
      </c>
      <c r="BZ30" t="n">
        <v>0</v>
      </c>
      <c r="CA30" t="n">
        <v>0</v>
      </c>
      <c r="CB30" t="n">
        <v>0</v>
      </c>
      <c r="CC30" t="n">
        <v>0</v>
      </c>
      <c r="CD30" t="n">
        <v>0</v>
      </c>
      <c r="CE30" t="n">
        <v>0</v>
      </c>
      <c r="CF30" t="n">
        <v>1</v>
      </c>
      <c r="CG30" t="n">
        <v>0</v>
      </c>
      <c r="CH30" t="n">
        <v>0</v>
      </c>
      <c r="CI30" t="n">
        <v>0</v>
      </c>
      <c r="CJ30" t="n">
        <v>0</v>
      </c>
      <c r="CK30" t="n">
        <v>0</v>
      </c>
      <c r="CL30" t="n">
        <v>0</v>
      </c>
      <c r="CM30" t="n">
        <v>1</v>
      </c>
      <c r="CN30" t="n">
        <v>0</v>
      </c>
      <c r="CO30" t="n">
        <v>0</v>
      </c>
      <c r="CP30" t="n">
        <v>0</v>
      </c>
      <c r="CQ30" t="n">
        <v>0</v>
      </c>
      <c r="CR30" t="n">
        <v>0</v>
      </c>
      <c r="CS30" t="n">
        <v>0</v>
      </c>
      <c r="CT30" t="n">
        <v>1</v>
      </c>
      <c r="CU30" t="n">
        <v>0</v>
      </c>
      <c r="CV30" t="n">
        <v>0</v>
      </c>
      <c r="CW30" t="n">
        <v>0</v>
      </c>
      <c r="CX30" t="n">
        <v>0</v>
      </c>
    </row>
    <row r="31" hidden="1">
      <c r="A31" t="inlineStr">
        <is>
          <t>[דגל חג]</t>
        </is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t="n">
        <v>0</v>
      </c>
      <c r="AF31" t="n">
        <v>0</v>
      </c>
      <c r="AG31" t="n">
        <v>0</v>
      </c>
      <c r="AH31" t="n">
        <v>0</v>
      </c>
      <c r="AI31" t="n">
        <v>0</v>
      </c>
      <c r="AJ31" t="n">
        <v>0</v>
      </c>
      <c r="AK31" t="n">
        <v>0</v>
      </c>
      <c r="AL31" t="n">
        <v>0</v>
      </c>
      <c r="AM31" t="n">
        <v>0</v>
      </c>
      <c r="AN31" t="n">
        <v>0</v>
      </c>
      <c r="AO31" t="n">
        <v>0</v>
      </c>
      <c r="AP31" t="n">
        <v>0</v>
      </c>
      <c r="AQ31" t="n">
        <v>0</v>
      </c>
      <c r="AR31" t="n">
        <v>0</v>
      </c>
      <c r="AS31" t="n">
        <v>0</v>
      </c>
      <c r="AT31" t="n">
        <v>0</v>
      </c>
      <c r="AU31" t="n">
        <v>0</v>
      </c>
      <c r="AV31" t="n">
        <v>0</v>
      </c>
      <c r="AW31" t="n">
        <v>0</v>
      </c>
      <c r="AX31" t="n">
        <v>0</v>
      </c>
      <c r="AY31" t="n">
        <v>0</v>
      </c>
      <c r="AZ31" t="n">
        <v>0</v>
      </c>
      <c r="BA31" t="n">
        <v>0</v>
      </c>
      <c r="BB31" t="n">
        <v>0</v>
      </c>
      <c r="BC31" t="n">
        <v>0</v>
      </c>
      <c r="BD31" t="n">
        <v>0</v>
      </c>
      <c r="BE31" t="n">
        <v>0</v>
      </c>
      <c r="BF31" t="n">
        <v>0</v>
      </c>
      <c r="BG31" t="n">
        <v>0</v>
      </c>
      <c r="BH31" t="n">
        <v>0</v>
      </c>
      <c r="BI31" t="n">
        <v>0</v>
      </c>
      <c r="BJ31" t="n">
        <v>0</v>
      </c>
      <c r="BK31" t="n">
        <v>0</v>
      </c>
      <c r="BL31" t="n">
        <v>0</v>
      </c>
      <c r="BM31" t="n">
        <v>0</v>
      </c>
      <c r="BN31" t="n">
        <v>0</v>
      </c>
      <c r="BO31" t="n">
        <v>0</v>
      </c>
      <c r="BP31" t="n">
        <v>0</v>
      </c>
      <c r="BQ31" t="n">
        <v>0</v>
      </c>
      <c r="BR31" t="n">
        <v>0</v>
      </c>
      <c r="BS31" t="n">
        <v>0</v>
      </c>
      <c r="BT31" t="n">
        <v>0</v>
      </c>
      <c r="BU31" t="n">
        <v>0</v>
      </c>
      <c r="BV31" t="n">
        <v>0</v>
      </c>
      <c r="BW31" t="n">
        <v>0</v>
      </c>
      <c r="BX31" t="n">
        <v>0</v>
      </c>
      <c r="BY31" t="n">
        <v>0</v>
      </c>
      <c r="BZ31" t="n">
        <v>0</v>
      </c>
      <c r="CA31" t="n">
        <v>0</v>
      </c>
      <c r="CB31" t="n">
        <v>0</v>
      </c>
      <c r="CC31" t="n">
        <v>0</v>
      </c>
      <c r="CD31" t="n">
        <v>0</v>
      </c>
      <c r="CE31" t="n">
        <v>1</v>
      </c>
      <c r="CF31" t="n">
        <v>1</v>
      </c>
      <c r="CG31" t="n">
        <v>1</v>
      </c>
      <c r="CH31" t="n">
        <v>0</v>
      </c>
      <c r="CI31" t="n">
        <v>0</v>
      </c>
      <c r="CJ31" t="n">
        <v>0</v>
      </c>
      <c r="CK31" t="n">
        <v>0</v>
      </c>
      <c r="CL31" t="n">
        <v>0</v>
      </c>
      <c r="CM31" t="n">
        <v>0</v>
      </c>
      <c r="CN31" t="n">
        <v>1</v>
      </c>
      <c r="CO31" t="n">
        <v>1</v>
      </c>
      <c r="CP31" t="n">
        <v>0</v>
      </c>
      <c r="CQ31" t="n">
        <v>0</v>
      </c>
      <c r="CR31" t="n">
        <v>0</v>
      </c>
      <c r="CS31" t="n">
        <v>1</v>
      </c>
      <c r="CT31" t="n">
        <v>1</v>
      </c>
      <c r="CU31" t="n">
        <v>0</v>
      </c>
      <c r="CV31" t="n">
        <v>0</v>
      </c>
      <c r="CW31" t="n">
        <v>0</v>
      </c>
      <c r="CX31" t="n">
        <v>0</v>
      </c>
    </row>
    <row r="32">
      <c r="A32" s="12" t="inlineStr">
        <is>
          <t>הגדרות מצבה (ניתן לעריכה):</t>
        </is>
      </c>
    </row>
    <row r="33">
      <c r="A33" s="13" t="inlineStr">
        <is>
          <t>מינימום בבסיס</t>
        </is>
      </c>
      <c r="B33" s="4" t="n">
        <v>12</v>
      </c>
    </row>
    <row r="34">
      <c r="A34" s="13" t="inlineStr">
        <is>
          <t>מינימום נשקייה</t>
        </is>
      </c>
      <c r="B34" s="4" t="n">
        <v>2</v>
      </c>
    </row>
    <row r="35">
      <c r="A35" s="13" t="inlineStr">
        <is>
          <t>מינימום אפסנאות</t>
        </is>
      </c>
      <c r="B35" s="4" t="n">
        <v>2</v>
      </c>
    </row>
  </sheetData>
  <mergeCells count="9">
    <mergeCell ref="BU2:CX2"/>
    <mergeCell ref="A25:C25"/>
    <mergeCell ref="A28:C28"/>
    <mergeCell ref="A1:DB1"/>
    <mergeCell ref="K2:AO2"/>
    <mergeCell ref="AP2:BT2"/>
    <mergeCell ref="A27:C27"/>
    <mergeCell ref="D2:J2"/>
    <mergeCell ref="A26:C26"/>
  </mergeCells>
  <conditionalFormatting sqref="D25:CX25">
    <cfRule type="cellIs" priority="1" operator="lessThan" dxfId="0">
      <formula>$B$33</formula>
    </cfRule>
  </conditionalFormatting>
  <conditionalFormatting sqref="D26:CX26">
    <cfRule type="cellIs" priority="2" operator="lessThan" dxfId="0">
      <formula>$B$34</formula>
    </cfRule>
  </conditionalFormatting>
  <conditionalFormatting sqref="D27:CX27">
    <cfRule type="cellIs" priority="3" operator="lessThan" dxfId="0">
      <formula>$B$35</formula>
    </cfRule>
  </conditionalFormatting>
  <conditionalFormatting sqref="D4:CX24">
    <cfRule type="cellIs" priority="4" operator="equal" dxfId="1">
      <formula>"בסיס"</formula>
    </cfRule>
    <cfRule type="cellIs" priority="5" operator="equal" dxfId="2">
      <formula>"בית"</formula>
    </cfRule>
    <cfRule type="cellIs" priority="6" operator="equal" dxfId="3">
      <formula>"חופשה"</formula>
    </cfRule>
    <cfRule type="cellIs" priority="7" operator="equal" dxfId="4">
      <formula>"גימלים"</formula>
    </cfRule>
    <cfRule type="cellIs" priority="8" operator="equal" dxfId="5">
      <formula>"קורס"</formula>
    </cfRule>
    <cfRule type="cellIs" priority="9" operator="equal" dxfId="6">
      <formula>"ת״ש"</formula>
    </cfRule>
  </conditionalFormatting>
  <conditionalFormatting sqref="DA4:DA24">
    <cfRule type="colorScale" priority="10">
      <colorScale>
        <cfvo type="min"/>
        <cfvo type="percentile" val="50"/>
        <cfvo type="max"/>
        <color rgb="00C6EFCE"/>
        <color rgb="00FFEB9C"/>
        <color rgb="00FFC7CE"/>
      </colorScale>
    </cfRule>
  </conditionalFormatting>
  <dataValidations count="1">
    <dataValidation sqref="D4:CX24" showDropDown="0" showInputMessage="0" showErrorMessage="0" allowBlank="1" type="list">
      <formula1>"בסיס,בית,חופשה,גימלים,קורס,ת״ש"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rightToLeft="1" workbookViewId="0">
      <selection activeCell="A1" sqref="A1"/>
    </sheetView>
  </sheetViews>
  <sheetFormatPr baseColWidth="8" defaultRowHeight="15"/>
  <cols>
    <col width="6" customWidth="1" min="1" max="1"/>
    <col width="34" customWidth="1" min="2" max="2"/>
  </cols>
  <sheetData>
    <row r="1">
      <c r="B1" s="14" t="inlineStr">
        <is>
          <t>מקרא - שבצק יציאות</t>
        </is>
      </c>
    </row>
    <row r="3">
      <c r="B3" s="12" t="inlineStr">
        <is>
          <t>כותרת תאריך:</t>
        </is>
      </c>
    </row>
    <row r="4">
      <c r="A4" s="15" t="n"/>
      <c r="B4" s="16" t="inlineStr">
        <is>
          <t>שבת / ערב שבת</t>
        </is>
      </c>
    </row>
    <row r="5">
      <c r="A5" s="17" t="n"/>
      <c r="B5" s="16" t="inlineStr">
        <is>
          <t>חג</t>
        </is>
      </c>
    </row>
    <row r="6">
      <c r="B6" s="12" t="inlineStr">
        <is>
          <t>סטטוס תא:</t>
        </is>
      </c>
    </row>
    <row r="7">
      <c r="A7" s="18" t="n"/>
      <c r="B7" s="16" t="inlineStr">
        <is>
          <t>בסיס</t>
        </is>
      </c>
    </row>
    <row r="8">
      <c r="A8" s="19" t="n"/>
      <c r="B8" s="16" t="inlineStr">
        <is>
          <t>בית</t>
        </is>
      </c>
    </row>
    <row r="9">
      <c r="A9" s="20" t="n"/>
      <c r="B9" s="16" t="inlineStr">
        <is>
          <t>חופשה</t>
        </is>
      </c>
    </row>
    <row r="10">
      <c r="A10" s="21" t="n"/>
      <c r="B10" s="16" t="inlineStr">
        <is>
          <t>גימלים</t>
        </is>
      </c>
    </row>
    <row r="11">
      <c r="A11" s="22" t="n"/>
      <c r="B11" s="16" t="inlineStr">
        <is>
          <t>קורס</t>
        </is>
      </c>
    </row>
    <row r="12">
      <c r="A12" s="23" t="n"/>
      <c r="B12" s="16" t="inlineStr">
        <is>
          <t>ת״ש</t>
        </is>
      </c>
    </row>
    <row r="13">
      <c r="B13" s="12" t="inlineStr">
        <is>
          <t>התראות:</t>
        </is>
      </c>
    </row>
    <row r="14">
      <c r="A14" s="24" t="n"/>
      <c r="B14" s="16" t="inlineStr">
        <is>
          <t>מתחת לסף מצבה (אדום אוטומטי)</t>
        </is>
      </c>
    </row>
    <row r="16">
      <c r="B16" s="16" t="inlineStr">
        <is>
          <t>ספי המצבה נקבעים בגיליון השבצק בבלוק "הגדרות מצבה".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2026-05-26T19:09:03Z</dcterms:created>
  <dcterms:modified xsi:type="dcterms:W3CDTF">2026-05-26T19:09:03Z</dcterms:modified>
</cp:coreProperties>
</file>