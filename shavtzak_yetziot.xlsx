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שבצק יציאות" sheetId="1" state="visible" r:id="rId1"/>
    <sheet name="מקרא" sheetId="2" state="visible" r:id="rId2"/>
    <sheet name="שיחות עם חייל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i val="1"/>
      <sz val="8"/>
    </font>
    <font>
      <sz val="11"/>
    </font>
    <font>
      <b val="1"/>
      <sz val="13"/>
    </font>
  </fonts>
  <fills count="2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FFFFF2CC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A9D08E"/>
      </patternFill>
    </fill>
    <fill>
      <patternFill patternType="solid">
        <fgColor rgb="FFFFC7CE"/>
      </patternFill>
    </fill>
    <fill>
      <patternFill patternType="solid">
        <fgColor rgb="FFB4A7D6"/>
      </patternFill>
    </fill>
    <fill>
      <patternFill patternType="solid">
        <fgColor rgb="FFF8CBAD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A9D08E"/>
      </patternFill>
    </fill>
    <fill>
      <patternFill patternType="solid">
        <fgColor rgb="00FFC7CE"/>
      </patternFill>
    </fill>
    <fill>
      <patternFill patternType="solid">
        <fgColor rgb="00B4A7D6"/>
      </patternFill>
    </fill>
    <fill>
      <patternFill patternType="solid">
        <fgColor rgb="00F8CBAD"/>
      </patternFill>
    </fill>
    <fill>
      <patternFill patternType="solid">
        <fgColor rgb="00FF5050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0" fillId="4" borderId="1" pivotButton="0" quotePrefix="0" xfId="0"/>
    <xf numFmtId="0" fontId="5" fillId="0" borderId="0" pivotButton="0" quotePrefix="0" xfId="0"/>
    <xf numFmtId="0" fontId="0" fillId="5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9">
    <dxf>
      <font>
        <b val="1"/>
        <color rgb="00FFFFFF"/>
      </font>
      <fill>
        <patternFill patternType="solid">
          <fgColor rgb="FFFF5050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A9D08E"/>
          <bgColor rgb="FFA9D08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41"/>
  <sheetViews>
    <sheetView rightToLeft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5" customWidth="1" min="71" max="71"/>
    <col width="5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width="5" customWidth="1" min="83" max="83"/>
    <col width="5" customWidth="1" min="84" max="84"/>
    <col width="5" customWidth="1" min="85" max="85"/>
    <col width="5" customWidth="1" min="86" max="86"/>
    <col width="5" customWidth="1" min="87" max="87"/>
    <col width="5" customWidth="1" min="88" max="88"/>
    <col width="5" customWidth="1" min="89" max="89"/>
    <col width="5" customWidth="1" min="90" max="90"/>
    <col width="5" customWidth="1" min="91" max="91"/>
    <col width="5" customWidth="1" min="92" max="92"/>
    <col width="5" customWidth="1" min="93" max="93"/>
    <col width="5" customWidth="1" min="94" max="94"/>
    <col width="5" customWidth="1" min="95" max="95"/>
    <col width="5" customWidth="1" min="96" max="96"/>
    <col width="5" customWidth="1" min="97" max="97"/>
    <col width="5" customWidth="1" min="98" max="98"/>
    <col width="5" customWidth="1" min="99" max="99"/>
    <col width="5" customWidth="1" min="100" max="100"/>
    <col width="5" customWidth="1" min="101" max="101"/>
    <col width="5" customWidth="1" min="102" max="102"/>
    <col width="9" customWidth="1" min="103" max="103"/>
    <col width="9" customWidth="1" min="104" max="104"/>
    <col width="9" customWidth="1" min="105" max="105"/>
    <col width="9" customWidth="1" min="106" max="106"/>
  </cols>
  <sheetData>
    <row r="1">
      <c r="A1" s="1" t="inlineStr">
        <is>
          <t>שבצק יציאות - קו הגנה סוריה</t>
        </is>
      </c>
    </row>
    <row r="2">
      <c r="D2" s="2" t="inlineStr">
        <is>
          <t>יוני 2026</t>
        </is>
      </c>
      <c r="K2" s="2" t="inlineStr">
        <is>
          <t>יולי 2026</t>
        </is>
      </c>
      <c r="AP2" s="2" t="inlineStr">
        <is>
          <t>אוגוסט 2026</t>
        </is>
      </c>
      <c r="BU2" s="2" t="inlineStr">
        <is>
          <t>ספטמבר 2026</t>
        </is>
      </c>
    </row>
    <row r="3" ht="30" customHeight="1">
      <c r="A3" s="2" t="inlineStr">
        <is>
          <t>שם</t>
        </is>
      </c>
      <c r="B3" s="2" t="inlineStr">
        <is>
          <t>תפקיד</t>
        </is>
      </c>
      <c r="C3" s="2" t="inlineStr">
        <is>
          <t>הערות</t>
        </is>
      </c>
      <c r="D3" s="3" t="inlineStr">
        <is>
          <t>24
ד</t>
        </is>
      </c>
      <c r="E3" s="3" t="inlineStr">
        <is>
          <t>25
ה</t>
        </is>
      </c>
      <c r="F3" s="4" t="inlineStr">
        <is>
          <t>26
ו</t>
        </is>
      </c>
      <c r="G3" s="4" t="inlineStr">
        <is>
          <t>27
ש</t>
        </is>
      </c>
      <c r="H3" s="3" t="inlineStr">
        <is>
          <t>28
א</t>
        </is>
      </c>
      <c r="I3" s="3" t="inlineStr">
        <is>
          <t>29
ב</t>
        </is>
      </c>
      <c r="J3" s="3" t="inlineStr">
        <is>
          <t>30
ג</t>
        </is>
      </c>
      <c r="K3" s="3" t="inlineStr">
        <is>
          <t>1
ד</t>
        </is>
      </c>
      <c r="L3" s="3" t="inlineStr">
        <is>
          <t>2
ה</t>
        </is>
      </c>
      <c r="M3" s="4" t="inlineStr">
        <is>
          <t>3
ו</t>
        </is>
      </c>
      <c r="N3" s="4" t="inlineStr">
        <is>
          <t>4
ש</t>
        </is>
      </c>
      <c r="O3" s="3" t="inlineStr">
        <is>
          <t>5
א</t>
        </is>
      </c>
      <c r="P3" s="3" t="inlineStr">
        <is>
          <t>6
ב</t>
        </is>
      </c>
      <c r="Q3" s="3" t="inlineStr">
        <is>
          <t>7
ג</t>
        </is>
      </c>
      <c r="R3" s="3" t="inlineStr">
        <is>
          <t>8
ד</t>
        </is>
      </c>
      <c r="S3" s="3" t="inlineStr">
        <is>
          <t>9
ה</t>
        </is>
      </c>
      <c r="T3" s="4" t="inlineStr">
        <is>
          <t>10
ו</t>
        </is>
      </c>
      <c r="U3" s="4" t="inlineStr">
        <is>
          <t>11
ש</t>
        </is>
      </c>
      <c r="V3" s="3" t="inlineStr">
        <is>
          <t>12
א</t>
        </is>
      </c>
      <c r="W3" s="3" t="inlineStr">
        <is>
          <t>13
ב</t>
        </is>
      </c>
      <c r="X3" s="3" t="inlineStr">
        <is>
          <t>14
ג</t>
        </is>
      </c>
      <c r="Y3" s="3" t="inlineStr">
        <is>
          <t>15
ד</t>
        </is>
      </c>
      <c r="Z3" s="3" t="inlineStr">
        <is>
          <t>16
ה</t>
        </is>
      </c>
      <c r="AA3" s="4" t="inlineStr">
        <is>
          <t>17
ו</t>
        </is>
      </c>
      <c r="AB3" s="4" t="inlineStr">
        <is>
          <t>18
ש</t>
        </is>
      </c>
      <c r="AC3" s="3" t="inlineStr">
        <is>
          <t>19
א</t>
        </is>
      </c>
      <c r="AD3" s="3" t="inlineStr">
        <is>
          <t>20
ב</t>
        </is>
      </c>
      <c r="AE3" s="3" t="inlineStr">
        <is>
          <t>21
ג</t>
        </is>
      </c>
      <c r="AF3" s="3" t="inlineStr">
        <is>
          <t>22
ד</t>
        </is>
      </c>
      <c r="AG3" s="3" t="inlineStr">
        <is>
          <t>23
ה</t>
        </is>
      </c>
      <c r="AH3" s="4" t="inlineStr">
        <is>
          <t>24
ו</t>
        </is>
      </c>
      <c r="AI3" s="4" t="inlineStr">
        <is>
          <t>25
ש</t>
        </is>
      </c>
      <c r="AJ3" s="3" t="inlineStr">
        <is>
          <t>26
א</t>
        </is>
      </c>
      <c r="AK3" s="3" t="inlineStr">
        <is>
          <t>27
ב</t>
        </is>
      </c>
      <c r="AL3" s="3" t="inlineStr">
        <is>
          <t>28
ג</t>
        </is>
      </c>
      <c r="AM3" s="3" t="inlineStr">
        <is>
          <t>29
ד</t>
        </is>
      </c>
      <c r="AN3" s="3" t="inlineStr">
        <is>
          <t>30
ה</t>
        </is>
      </c>
      <c r="AO3" s="4" t="inlineStr">
        <is>
          <t>31
ו</t>
        </is>
      </c>
      <c r="AP3" s="4" t="inlineStr">
        <is>
          <t>1
ש</t>
        </is>
      </c>
      <c r="AQ3" s="3" t="inlineStr">
        <is>
          <t>2
א</t>
        </is>
      </c>
      <c r="AR3" s="3" t="inlineStr">
        <is>
          <t>3
ב</t>
        </is>
      </c>
      <c r="AS3" s="3" t="inlineStr">
        <is>
          <t>4
ג</t>
        </is>
      </c>
      <c r="AT3" s="3" t="inlineStr">
        <is>
          <t>5
ד</t>
        </is>
      </c>
      <c r="AU3" s="3" t="inlineStr">
        <is>
          <t>6
ה</t>
        </is>
      </c>
      <c r="AV3" s="4" t="inlineStr">
        <is>
          <t>7
ו</t>
        </is>
      </c>
      <c r="AW3" s="4" t="inlineStr">
        <is>
          <t>8
ש</t>
        </is>
      </c>
      <c r="AX3" s="3" t="inlineStr">
        <is>
          <t>9
א</t>
        </is>
      </c>
      <c r="AY3" s="3" t="inlineStr">
        <is>
          <t>10
ב</t>
        </is>
      </c>
      <c r="AZ3" s="3" t="inlineStr">
        <is>
          <t>11
ג</t>
        </is>
      </c>
      <c r="BA3" s="3" t="inlineStr">
        <is>
          <t>12
ד</t>
        </is>
      </c>
      <c r="BB3" s="3" t="inlineStr">
        <is>
          <t>13
ה</t>
        </is>
      </c>
      <c r="BC3" s="4" t="inlineStr">
        <is>
          <t>14
ו</t>
        </is>
      </c>
      <c r="BD3" s="4" t="inlineStr">
        <is>
          <t>15
ש</t>
        </is>
      </c>
      <c r="BE3" s="3" t="inlineStr">
        <is>
          <t>16
א</t>
        </is>
      </c>
      <c r="BF3" s="3" t="inlineStr">
        <is>
          <t>17
ב</t>
        </is>
      </c>
      <c r="BG3" s="3" t="inlineStr">
        <is>
          <t>18
ג</t>
        </is>
      </c>
      <c r="BH3" s="3" t="inlineStr">
        <is>
          <t>19
ד</t>
        </is>
      </c>
      <c r="BI3" s="3" t="inlineStr">
        <is>
          <t>20
ה</t>
        </is>
      </c>
      <c r="BJ3" s="4" t="inlineStr">
        <is>
          <t>21
ו</t>
        </is>
      </c>
      <c r="BK3" s="4" t="inlineStr">
        <is>
          <t>22
ש</t>
        </is>
      </c>
      <c r="BL3" s="3" t="inlineStr">
        <is>
          <t>23
א</t>
        </is>
      </c>
      <c r="BM3" s="3" t="inlineStr">
        <is>
          <t>24
ב</t>
        </is>
      </c>
      <c r="BN3" s="3" t="inlineStr">
        <is>
          <t>25
ג</t>
        </is>
      </c>
      <c r="BO3" s="3" t="inlineStr">
        <is>
          <t>26
ד</t>
        </is>
      </c>
      <c r="BP3" s="3" t="inlineStr">
        <is>
          <t>27
ה</t>
        </is>
      </c>
      <c r="BQ3" s="4" t="inlineStr">
        <is>
          <t>28
ו</t>
        </is>
      </c>
      <c r="BR3" s="4" t="inlineStr">
        <is>
          <t>29
ש</t>
        </is>
      </c>
      <c r="BS3" s="3" t="inlineStr">
        <is>
          <t>30
א</t>
        </is>
      </c>
      <c r="BT3" s="3" t="inlineStr">
        <is>
          <t>31
ב</t>
        </is>
      </c>
      <c r="BU3" s="3" t="inlineStr">
        <is>
          <t>1
ג</t>
        </is>
      </c>
      <c r="BV3" s="3" t="inlineStr">
        <is>
          <t>2
ד</t>
        </is>
      </c>
      <c r="BW3" s="3" t="inlineStr">
        <is>
          <t>3
ה</t>
        </is>
      </c>
      <c r="BX3" s="4" t="inlineStr">
        <is>
          <t>4
ו</t>
        </is>
      </c>
      <c r="BY3" s="4" t="inlineStr">
        <is>
          <t>5
ש</t>
        </is>
      </c>
      <c r="BZ3" s="3" t="inlineStr">
        <is>
          <t>6
א</t>
        </is>
      </c>
      <c r="CA3" s="3" t="inlineStr">
        <is>
          <t>7
ב</t>
        </is>
      </c>
      <c r="CB3" s="3" t="inlineStr">
        <is>
          <t>8
ג</t>
        </is>
      </c>
      <c r="CC3" s="3" t="inlineStr">
        <is>
          <t>9
ד</t>
        </is>
      </c>
      <c r="CD3" s="3" t="inlineStr">
        <is>
          <t>10
ה</t>
        </is>
      </c>
      <c r="CE3" s="5" t="inlineStr">
        <is>
          <t>11
ו</t>
        </is>
      </c>
      <c r="CF3" s="5" t="inlineStr">
        <is>
          <t>12
ש</t>
        </is>
      </c>
      <c r="CG3" s="5" t="inlineStr">
        <is>
          <t>13
א</t>
        </is>
      </c>
      <c r="CH3" s="3" t="inlineStr">
        <is>
          <t>14
ב</t>
        </is>
      </c>
      <c r="CI3" s="3" t="inlineStr">
        <is>
          <t>15
ג</t>
        </is>
      </c>
      <c r="CJ3" s="3" t="inlineStr">
        <is>
          <t>16
ד</t>
        </is>
      </c>
      <c r="CK3" s="3" t="inlineStr">
        <is>
          <t>17
ה</t>
        </is>
      </c>
      <c r="CL3" s="4" t="inlineStr">
        <is>
          <t>18
ו</t>
        </is>
      </c>
      <c r="CM3" s="4" t="inlineStr">
        <is>
          <t>19
ש</t>
        </is>
      </c>
      <c r="CN3" s="5" t="inlineStr">
        <is>
          <t>20
א</t>
        </is>
      </c>
      <c r="CO3" s="5" t="inlineStr">
        <is>
          <t>21
ב</t>
        </is>
      </c>
      <c r="CP3" s="3" t="inlineStr">
        <is>
          <t>22
ג</t>
        </is>
      </c>
      <c r="CQ3" s="3" t="inlineStr">
        <is>
          <t>23
ד</t>
        </is>
      </c>
      <c r="CR3" s="3" t="inlineStr">
        <is>
          <t>24
ה</t>
        </is>
      </c>
      <c r="CS3" s="5" t="inlineStr">
        <is>
          <t>25
ו</t>
        </is>
      </c>
      <c r="CT3" s="5" t="inlineStr">
        <is>
          <t>26
ש</t>
        </is>
      </c>
      <c r="CU3" s="3" t="inlineStr">
        <is>
          <t>27
א</t>
        </is>
      </c>
      <c r="CV3" s="3" t="inlineStr">
        <is>
          <t>28
ב</t>
        </is>
      </c>
      <c r="CW3" s="3" t="inlineStr">
        <is>
          <t>29
ג</t>
        </is>
      </c>
      <c r="CX3" s="3" t="inlineStr">
        <is>
          <t>30
ד</t>
        </is>
      </c>
      <c r="CY3" s="2" t="inlineStr">
        <is>
          <t>ימי בסיס</t>
        </is>
      </c>
      <c r="CZ3" s="2" t="inlineStr">
        <is>
          <t>ימי בית</t>
        </is>
      </c>
      <c r="DA3" s="2" t="inlineStr">
        <is>
          <t>סופ"ש בבית</t>
        </is>
      </c>
      <c r="DB3" s="2" t="inlineStr">
        <is>
          <t>חגים בבית</t>
        </is>
      </c>
    </row>
    <row r="4" ht="28" customHeight="1">
      <c r="A4" s="2" t="inlineStr">
        <is>
          <t>אירוע ביום</t>
        </is>
      </c>
      <c r="B4" s="6" t="n"/>
      <c r="C4" s="7" t="n"/>
      <c r="D4" s="8" t="n"/>
      <c r="E4" s="8" t="n"/>
      <c r="F4" s="8" t="n"/>
      <c r="G4" s="8" t="n"/>
      <c r="H4" s="8" t="n"/>
      <c r="I4" s="8" t="n"/>
      <c r="J4" s="8" t="n"/>
      <c r="K4" s="9" t="inlineStr">
        <is>
          <t>← דוגמה: רשום פה אירוע ליום</t>
        </is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10" t="n"/>
      <c r="CZ4" s="10" t="n"/>
      <c r="DA4" s="10" t="n"/>
      <c r="DB4" s="10" t="n"/>
    </row>
    <row r="5">
      <c r="A5" s="11" t="inlineStr">
        <is>
          <t>איתי עוזיאל</t>
        </is>
      </c>
      <c r="B5" s="12" t="inlineStr">
        <is>
          <t>קלג</t>
        </is>
      </c>
      <c r="C5" s="10" t="n"/>
      <c r="D5" s="13" t="inlineStr">
        <is>
          <t>בסיס</t>
        </is>
      </c>
      <c r="E5" s="14" t="inlineStr">
        <is>
          <t>בית</t>
        </is>
      </c>
      <c r="F5" s="15" t="inlineStr">
        <is>
          <t>חופשה</t>
        </is>
      </c>
      <c r="G5" s="16" t="inlineStr">
        <is>
          <t>גימלים</t>
        </is>
      </c>
      <c r="H5" s="17" t="inlineStr">
        <is>
          <t>קורס</t>
        </is>
      </c>
      <c r="I5" s="18" t="inlineStr">
        <is>
          <t>ת״ש</t>
        </is>
      </c>
      <c r="J5" s="10" t="n"/>
      <c r="K5" s="19" t="inlineStr">
        <is>
          <t>← דוגמה למחיקה</t>
        </is>
      </c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0" t="n"/>
      <c r="AU5" s="10" t="n"/>
      <c r="AV5" s="10" t="n"/>
      <c r="AW5" s="10" t="n"/>
      <c r="AX5" s="10" t="n"/>
      <c r="AY5" s="10" t="n"/>
      <c r="AZ5" s="10" t="n"/>
      <c r="BA5" s="10" t="n"/>
      <c r="BB5" s="10" t="n"/>
      <c r="BC5" s="10" t="n"/>
      <c r="BD5" s="10" t="n"/>
      <c r="BE5" s="10" t="n"/>
      <c r="BF5" s="10" t="n"/>
      <c r="BG5" s="10" t="n"/>
      <c r="BH5" s="10" t="n"/>
      <c r="BI5" s="10" t="n"/>
      <c r="BJ5" s="10" t="n"/>
      <c r="BK5" s="10" t="n"/>
      <c r="BL5" s="10" t="n"/>
      <c r="BM5" s="10" t="n"/>
      <c r="BN5" s="10" t="n"/>
      <c r="BO5" s="10" t="n"/>
      <c r="BP5" s="10" t="n"/>
      <c r="BQ5" s="10" t="n"/>
      <c r="BR5" s="10" t="n"/>
      <c r="BS5" s="10" t="n"/>
      <c r="BT5" s="10" t="n"/>
      <c r="BU5" s="10" t="n"/>
      <c r="BV5" s="10" t="n"/>
      <c r="BW5" s="10" t="n"/>
      <c r="BX5" s="10" t="n"/>
      <c r="BY5" s="10" t="n"/>
      <c r="BZ5" s="10" t="n"/>
      <c r="CA5" s="10" t="n"/>
      <c r="CB5" s="10" t="n"/>
      <c r="CC5" s="10" t="n"/>
      <c r="CD5" s="10" t="n"/>
      <c r="CE5" s="10" t="n"/>
      <c r="CF5" s="10" t="n"/>
      <c r="CG5" s="10" t="n"/>
      <c r="CH5" s="10" t="n"/>
      <c r="CI5" s="10" t="n"/>
      <c r="CJ5" s="10" t="n"/>
      <c r="CK5" s="10" t="n"/>
      <c r="CL5" s="10" t="n"/>
      <c r="CM5" s="10" t="n"/>
      <c r="CN5" s="10" t="n"/>
      <c r="CO5" s="10" t="n"/>
      <c r="CP5" s="10" t="n"/>
      <c r="CQ5" s="10" t="n"/>
      <c r="CR5" s="10" t="n"/>
      <c r="CS5" s="10" t="n"/>
      <c r="CT5" s="10" t="n"/>
      <c r="CU5" s="10" t="n"/>
      <c r="CV5" s="10" t="n"/>
      <c r="CW5" s="10" t="n"/>
      <c r="CX5" s="10" t="n"/>
      <c r="CY5" s="19">
        <f>COUNTIF(D5:CX5,"בסיס")</f>
        <v/>
      </c>
      <c r="CZ5" s="19">
        <f>COUNTIF(D5:CX5,"בית")</f>
        <v/>
      </c>
      <c r="DA5" s="19">
        <f>SUMPRODUCT($D$36:$CX$36,--(D5:CX5="בית"))</f>
        <v/>
      </c>
      <c r="DB5" s="19">
        <f>SUMPRODUCT($D$37:$CX$37,--(D5:CX5="בית"))</f>
        <v/>
      </c>
    </row>
    <row r="6">
      <c r="A6" s="11" t="inlineStr">
        <is>
          <t>אורי עוזיאל</t>
        </is>
      </c>
      <c r="B6" s="12" t="inlineStr">
        <is>
          <t>סמל נשקייה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  <c r="AU6" s="10" t="n"/>
      <c r="AV6" s="10" t="n"/>
      <c r="AW6" s="10" t="n"/>
      <c r="AX6" s="10" t="n"/>
      <c r="AY6" s="10" t="n"/>
      <c r="AZ6" s="10" t="n"/>
      <c r="BA6" s="10" t="n"/>
      <c r="BB6" s="10" t="n"/>
      <c r="BC6" s="10" t="n"/>
      <c r="BD6" s="10" t="n"/>
      <c r="BE6" s="10" t="n"/>
      <c r="BF6" s="10" t="n"/>
      <c r="BG6" s="10" t="n"/>
      <c r="BH6" s="10" t="n"/>
      <c r="BI6" s="10" t="n"/>
      <c r="BJ6" s="10" t="n"/>
      <c r="BK6" s="10" t="n"/>
      <c r="BL6" s="10" t="n"/>
      <c r="BM6" s="10" t="n"/>
      <c r="BN6" s="10" t="n"/>
      <c r="BO6" s="10" t="n"/>
      <c r="BP6" s="10" t="n"/>
      <c r="BQ6" s="10" t="n"/>
      <c r="BR6" s="10" t="n"/>
      <c r="BS6" s="10" t="n"/>
      <c r="BT6" s="10" t="n"/>
      <c r="BU6" s="10" t="n"/>
      <c r="BV6" s="10" t="n"/>
      <c r="BW6" s="10" t="n"/>
      <c r="BX6" s="10" t="n"/>
      <c r="BY6" s="10" t="n"/>
      <c r="BZ6" s="10" t="n"/>
      <c r="CA6" s="10" t="n"/>
      <c r="CB6" s="10" t="n"/>
      <c r="CC6" s="10" t="n"/>
      <c r="CD6" s="10" t="n"/>
      <c r="CE6" s="10" t="n"/>
      <c r="CF6" s="10" t="n"/>
      <c r="CG6" s="10" t="n"/>
      <c r="CH6" s="10" t="n"/>
      <c r="CI6" s="10" t="n"/>
      <c r="CJ6" s="10" t="n"/>
      <c r="CK6" s="10" t="n"/>
      <c r="CL6" s="10" t="n"/>
      <c r="CM6" s="10" t="n"/>
      <c r="CN6" s="10" t="n"/>
      <c r="CO6" s="10" t="n"/>
      <c r="CP6" s="10" t="n"/>
      <c r="CQ6" s="10" t="n"/>
      <c r="CR6" s="10" t="n"/>
      <c r="CS6" s="10" t="n"/>
      <c r="CT6" s="10" t="n"/>
      <c r="CU6" s="10" t="n"/>
      <c r="CV6" s="10" t="n"/>
      <c r="CW6" s="10" t="n"/>
      <c r="CX6" s="10" t="n"/>
      <c r="CY6" s="19">
        <f>COUNTIF(D6:CX6,"בסיס")</f>
        <v/>
      </c>
      <c r="CZ6" s="19">
        <f>COUNTIF(D6:CX6,"בית")</f>
        <v/>
      </c>
      <c r="DA6" s="19">
        <f>SUMPRODUCT($D$36:$CX$36,--(D6:CX6="בית"))</f>
        <v/>
      </c>
      <c r="DB6" s="19">
        <f>SUMPRODUCT($D$37:$CX$37,--(D6:CX6="בית"))</f>
        <v/>
      </c>
    </row>
    <row r="7">
      <c r="A7" s="11" t="inlineStr">
        <is>
          <t>ינון איזון</t>
        </is>
      </c>
      <c r="B7" s="12" t="inlineStr">
        <is>
          <t>נשקייה</t>
        </is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10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10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9">
        <f>COUNTIF(D7:CX7,"בסיס")</f>
        <v/>
      </c>
      <c r="CZ7" s="19">
        <f>COUNTIF(D7:CX7,"בית")</f>
        <v/>
      </c>
      <c r="DA7" s="19">
        <f>SUMPRODUCT($D$36:$CX$36,--(D7:CX7="בית"))</f>
        <v/>
      </c>
      <c r="DB7" s="19">
        <f>SUMPRODUCT($D$37:$CX$37,--(D7:CX7="בית"))</f>
        <v/>
      </c>
    </row>
    <row r="8">
      <c r="A8" s="11" t="inlineStr">
        <is>
          <t>שי ארנלדס</t>
        </is>
      </c>
      <c r="B8" s="12" t="inlineStr">
        <is>
          <t>נשקייה</t>
        </is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10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10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9">
        <f>COUNTIF(D8:CX8,"בסיס")</f>
        <v/>
      </c>
      <c r="CZ8" s="19">
        <f>COUNTIF(D8:CX8,"בית")</f>
        <v/>
      </c>
      <c r="DA8" s="19">
        <f>SUMPRODUCT($D$36:$CX$36,--(D8:CX8="בית"))</f>
        <v/>
      </c>
      <c r="DB8" s="19">
        <f>SUMPRODUCT($D$37:$CX$37,--(D8:CX8="בית"))</f>
        <v/>
      </c>
    </row>
    <row r="9">
      <c r="A9" s="11" t="inlineStr">
        <is>
          <t>איתי שמש</t>
        </is>
      </c>
      <c r="B9" s="12" t="inlineStr">
        <is>
          <t>נשקייה</t>
        </is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  <c r="AU9" s="10" t="n"/>
      <c r="AV9" s="10" t="n"/>
      <c r="AW9" s="10" t="n"/>
      <c r="AX9" s="10" t="n"/>
      <c r="AY9" s="10" t="n"/>
      <c r="AZ9" s="10" t="n"/>
      <c r="BA9" s="10" t="n"/>
      <c r="BB9" s="10" t="n"/>
      <c r="BC9" s="10" t="n"/>
      <c r="BD9" s="10" t="n"/>
      <c r="BE9" s="10" t="n"/>
      <c r="BF9" s="10" t="n"/>
      <c r="BG9" s="10" t="n"/>
      <c r="BH9" s="10" t="n"/>
      <c r="BI9" s="10" t="n"/>
      <c r="BJ9" s="10" t="n"/>
      <c r="BK9" s="10" t="n"/>
      <c r="BL9" s="10" t="n"/>
      <c r="BM9" s="10" t="n"/>
      <c r="BN9" s="10" t="n"/>
      <c r="BO9" s="10" t="n"/>
      <c r="BP9" s="10" t="n"/>
      <c r="BQ9" s="10" t="n"/>
      <c r="BR9" s="10" t="n"/>
      <c r="BS9" s="10" t="n"/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10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9">
        <f>COUNTIF(D9:CX9,"בסיס")</f>
        <v/>
      </c>
      <c r="CZ9" s="19">
        <f>COUNTIF(D9:CX9,"בית")</f>
        <v/>
      </c>
      <c r="DA9" s="19">
        <f>SUMPRODUCT($D$36:$CX$36,--(D9:CX9="בית"))</f>
        <v/>
      </c>
      <c r="DB9" s="19">
        <f>SUMPRODUCT($D$37:$CX$37,--(D9:CX9="בית"))</f>
        <v/>
      </c>
    </row>
    <row r="10">
      <c r="A10" s="11" t="inlineStr">
        <is>
          <t>אביעד כהן</t>
        </is>
      </c>
      <c r="B10" s="12" t="inlineStr">
        <is>
          <t>נשקייה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10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10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9">
        <f>COUNTIF(D10:CX10,"בסיס")</f>
        <v/>
      </c>
      <c r="CZ10" s="19">
        <f>COUNTIF(D10:CX10,"בית")</f>
        <v/>
      </c>
      <c r="DA10" s="19">
        <f>SUMPRODUCT($D$36:$CX$36,--(D10:CX10="בית"))</f>
        <v/>
      </c>
      <c r="DB10" s="19">
        <f>SUMPRODUCT($D$37:$CX$37,--(D10:CX10="בית"))</f>
        <v/>
      </c>
    </row>
    <row r="11">
      <c r="A11" s="11" t="inlineStr">
        <is>
          <t>אזוגי נתנאל</t>
        </is>
      </c>
      <c r="B11" s="12" t="inlineStr">
        <is>
          <t>אפסנאות</t>
        </is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/>
      <c r="BB11" s="10" t="n"/>
      <c r="BC11" s="10" t="n"/>
      <c r="BD11" s="10" t="n"/>
      <c r="BE11" s="10" t="n"/>
      <c r="BF11" s="10" t="n"/>
      <c r="BG11" s="10" t="n"/>
      <c r="BH11" s="10" t="n"/>
      <c r="BI11" s="10" t="n"/>
      <c r="BJ11" s="10" t="n"/>
      <c r="BK11" s="10" t="n"/>
      <c r="BL11" s="10" t="n"/>
      <c r="BM11" s="10" t="n"/>
      <c r="BN11" s="10" t="n"/>
      <c r="BO11" s="10" t="n"/>
      <c r="BP11" s="10" t="n"/>
      <c r="BQ11" s="10" t="n"/>
      <c r="BR11" s="10" t="n"/>
      <c r="BS11" s="10" t="n"/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10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9">
        <f>COUNTIF(D11:CX11,"בסיס")</f>
        <v/>
      </c>
      <c r="CZ11" s="19">
        <f>COUNTIF(D11:CX11,"בית")</f>
        <v/>
      </c>
      <c r="DA11" s="19">
        <f>SUMPRODUCT($D$36:$CX$36,--(D11:CX11="בית"))</f>
        <v/>
      </c>
      <c r="DB11" s="19">
        <f>SUMPRODUCT($D$37:$CX$37,--(D11:CX11="בית"))</f>
        <v/>
      </c>
    </row>
    <row r="12">
      <c r="A12" s="11" t="inlineStr">
        <is>
          <t>ניב סורוקר</t>
        </is>
      </c>
      <c r="B12" s="12" t="inlineStr">
        <is>
          <t>אפסנאות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10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10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9">
        <f>COUNTIF(D12:CX12,"בסיס")</f>
        <v/>
      </c>
      <c r="CZ12" s="19">
        <f>COUNTIF(D12:CX12,"בית")</f>
        <v/>
      </c>
      <c r="DA12" s="19">
        <f>SUMPRODUCT($D$36:$CX$36,--(D12:CX12="בית"))</f>
        <v/>
      </c>
      <c r="DB12" s="19">
        <f>SUMPRODUCT($D$37:$CX$37,--(D12:CX12="בית"))</f>
        <v/>
      </c>
    </row>
    <row r="13">
      <c r="A13" s="11" t="inlineStr">
        <is>
          <t>צבי לונדין</t>
        </is>
      </c>
      <c r="B13" s="12" t="inlineStr">
        <is>
          <t>אפסנאות</t>
        </is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  <c r="AU13" s="10" t="n"/>
      <c r="AV13" s="10" t="n"/>
      <c r="AW13" s="10" t="n"/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10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10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9">
        <f>COUNTIF(D13:CX13,"בסיס")</f>
        <v/>
      </c>
      <c r="CZ13" s="19">
        <f>COUNTIF(D13:CX13,"בית")</f>
        <v/>
      </c>
      <c r="DA13" s="19">
        <f>SUMPRODUCT($D$36:$CX$36,--(D13:CX13="בית"))</f>
        <v/>
      </c>
      <c r="DB13" s="19">
        <f>SUMPRODUCT($D$37:$CX$37,--(D13:CX13="בית"))</f>
        <v/>
      </c>
    </row>
    <row r="14">
      <c r="A14" s="11" t="inlineStr">
        <is>
          <t>יוסף חגואל</t>
        </is>
      </c>
      <c r="B14" s="12" t="inlineStr">
        <is>
          <t>נשקייה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10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10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9">
        <f>COUNTIF(D14:CX14,"בסיס")</f>
        <v/>
      </c>
      <c r="CZ14" s="19">
        <f>COUNTIF(D14:CX14,"בית")</f>
        <v/>
      </c>
      <c r="DA14" s="19">
        <f>SUMPRODUCT($D$36:$CX$36,--(D14:CX14="בית"))</f>
        <v/>
      </c>
      <c r="DB14" s="19">
        <f>SUMPRODUCT($D$37:$CX$37,--(D14:CX14="בית"))</f>
        <v/>
      </c>
    </row>
    <row r="15">
      <c r="A15" s="11" t="inlineStr">
        <is>
          <t>אדם ממן</t>
        </is>
      </c>
      <c r="B15" s="12" t="inlineStr">
        <is>
          <t>סמל אפסנאות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10" t="n"/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10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9">
        <f>COUNTIF(D15:CX15,"בסיס")</f>
        <v/>
      </c>
      <c r="CZ15" s="19">
        <f>COUNTIF(D15:CX15,"בית")</f>
        <v/>
      </c>
      <c r="DA15" s="19">
        <f>SUMPRODUCT($D$36:$CX$36,--(D15:CX15="בית"))</f>
        <v/>
      </c>
      <c r="DB15" s="19">
        <f>SUMPRODUCT($D$37:$CX$37,--(D15:CX15="בית"))</f>
        <v/>
      </c>
    </row>
    <row r="16">
      <c r="A16" s="11" t="inlineStr">
        <is>
          <t>גבריאל יעקוביאן</t>
        </is>
      </c>
      <c r="B16" s="12" t="inlineStr">
        <is>
          <t>נשקייה</t>
        </is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10" t="n"/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10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9">
        <f>COUNTIF(D16:CX16,"בסיס")</f>
        <v/>
      </c>
      <c r="CZ16" s="19">
        <f>COUNTIF(D16:CX16,"בית")</f>
        <v/>
      </c>
      <c r="DA16" s="19">
        <f>SUMPRODUCT($D$36:$CX$36,--(D16:CX16="בית"))</f>
        <v/>
      </c>
      <c r="DB16" s="19">
        <f>SUMPRODUCT($D$37:$CX$37,--(D16:CX16="בית"))</f>
        <v/>
      </c>
    </row>
    <row r="17">
      <c r="A17" s="11" t="inlineStr">
        <is>
          <t>יקיר אלימלך</t>
        </is>
      </c>
      <c r="B17" s="12" t="inlineStr">
        <is>
          <t>אפסנאות</t>
        </is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10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10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9">
        <f>COUNTIF(D17:CX17,"בסיס")</f>
        <v/>
      </c>
      <c r="CZ17" s="19">
        <f>COUNTIF(D17:CX17,"בית")</f>
        <v/>
      </c>
      <c r="DA17" s="19">
        <f>SUMPRODUCT($D$36:$CX$36,--(D17:CX17="בית"))</f>
        <v/>
      </c>
      <c r="DB17" s="19">
        <f>SUMPRODUCT($D$37:$CX$37,--(D17:CX17="בית"))</f>
        <v/>
      </c>
    </row>
    <row r="18">
      <c r="A18" s="11" t="inlineStr">
        <is>
          <t>יוסי כהן</t>
        </is>
      </c>
      <c r="B18" s="12" t="inlineStr">
        <is>
          <t>נשקייה-רחפנים</t>
        </is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10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10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9">
        <f>COUNTIF(D18:CX18,"בסיס")</f>
        <v/>
      </c>
      <c r="CZ18" s="19">
        <f>COUNTIF(D18:CX18,"בית")</f>
        <v/>
      </c>
      <c r="DA18" s="19">
        <f>SUMPRODUCT($D$36:$CX$36,--(D18:CX18="בית"))</f>
        <v/>
      </c>
      <c r="DB18" s="19">
        <f>SUMPRODUCT($D$37:$CX$37,--(D18:CX18="בית"))</f>
        <v/>
      </c>
    </row>
    <row r="19">
      <c r="A19" s="11" t="inlineStr">
        <is>
          <t>רון בן שושן</t>
        </is>
      </c>
      <c r="B19" s="12" t="inlineStr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10" t="n"/>
      <c r="BO19" s="10" t="n"/>
      <c r="BP19" s="10" t="n"/>
      <c r="BQ19" s="10" t="n"/>
      <c r="BR19" s="10" t="n"/>
      <c r="BS19" s="10" t="n"/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10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9">
        <f>COUNTIF(D19:CX19,"בסיס")</f>
        <v/>
      </c>
      <c r="CZ19" s="19">
        <f>COUNTIF(D19:CX19,"בית")</f>
        <v/>
      </c>
      <c r="DA19" s="19">
        <f>SUMPRODUCT($D$36:$CX$36,--(D19:CX19="בית"))</f>
        <v/>
      </c>
      <c r="DB19" s="19">
        <f>SUMPRODUCT($D$37:$CX$37,--(D19:CX19="בית"))</f>
        <v/>
      </c>
    </row>
    <row r="20">
      <c r="A20" s="11" t="inlineStr">
        <is>
          <t>דוד שמחי</t>
        </is>
      </c>
      <c r="B20" s="12" t="inlineStr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10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10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9">
        <f>COUNTIF(D20:CX20,"בסיס")</f>
        <v/>
      </c>
      <c r="CZ20" s="19">
        <f>COUNTIF(D20:CX20,"בית")</f>
        <v/>
      </c>
      <c r="DA20" s="19">
        <f>SUMPRODUCT($D$36:$CX$36,--(D20:CX20="בית"))</f>
        <v/>
      </c>
      <c r="DB20" s="19">
        <f>SUMPRODUCT($D$37:$CX$37,--(D20:CX20="בית"))</f>
        <v/>
      </c>
    </row>
    <row r="21">
      <c r="A21" s="11" t="inlineStr">
        <is>
          <t>לב גינזבורג</t>
        </is>
      </c>
      <c r="B21" s="12" t="inlineStr">
        <is>
          <t>נשקייה</t>
        </is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10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10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9">
        <f>COUNTIF(D21:CX21,"בסיס")</f>
        <v/>
      </c>
      <c r="CZ21" s="19">
        <f>COUNTIF(D21:CX21,"בית")</f>
        <v/>
      </c>
      <c r="DA21" s="19">
        <f>SUMPRODUCT($D$36:$CX$36,--(D21:CX21="בית"))</f>
        <v/>
      </c>
      <c r="DB21" s="19">
        <f>SUMPRODUCT($D$37:$CX$37,--(D21:CX21="בית"))</f>
        <v/>
      </c>
    </row>
    <row r="22">
      <c r="A22" s="11" t="inlineStr">
        <is>
          <t>יעקב גרמאי</t>
        </is>
      </c>
      <c r="B22" s="12" t="inlineStr">
        <is>
          <t>אפסנאות</t>
        </is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10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10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9">
        <f>COUNTIF(D22:CX22,"בסיס")</f>
        <v/>
      </c>
      <c r="CZ22" s="19">
        <f>COUNTIF(D22:CX22,"בית")</f>
        <v/>
      </c>
      <c r="DA22" s="19">
        <f>SUMPRODUCT($D$36:$CX$36,--(D22:CX22="בית"))</f>
        <v/>
      </c>
      <c r="DB22" s="19">
        <f>SUMPRODUCT($D$37:$CX$37,--(D22:CX22="בית"))</f>
        <v/>
      </c>
    </row>
    <row r="23">
      <c r="A23" s="11" t="inlineStr">
        <is>
          <t>עידן אשטון</t>
        </is>
      </c>
      <c r="B23" s="12" t="inlineStr">
        <is>
          <t>אפסנאות</t>
        </is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10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10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9">
        <f>COUNTIF(D23:CX23,"בסיס")</f>
        <v/>
      </c>
      <c r="CZ23" s="19">
        <f>COUNTIF(D23:CX23,"בית")</f>
        <v/>
      </c>
      <c r="DA23" s="19">
        <f>SUMPRODUCT($D$36:$CX$36,--(D23:CX23="בית"))</f>
        <v/>
      </c>
      <c r="DB23" s="19">
        <f>SUMPRODUCT($D$37:$CX$37,--(D23:CX23="בית"))</f>
        <v/>
      </c>
    </row>
    <row r="24">
      <c r="A24" s="11" t="inlineStr">
        <is>
          <t>עומר נוימן</t>
        </is>
      </c>
      <c r="B24" s="12" t="inlineStr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10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10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9">
        <f>COUNTIF(D24:CX24,"בסיס")</f>
        <v/>
      </c>
      <c r="CZ24" s="19">
        <f>COUNTIF(D24:CX24,"בית")</f>
        <v/>
      </c>
      <c r="DA24" s="19">
        <f>SUMPRODUCT($D$36:$CX$36,--(D24:CX24="בית"))</f>
        <v/>
      </c>
      <c r="DB24" s="19">
        <f>SUMPRODUCT($D$37:$CX$37,--(D24:CX24="בית"))</f>
        <v/>
      </c>
    </row>
    <row r="25">
      <c r="A25" s="11" t="inlineStr">
        <is>
          <t>דוד עבאדה</t>
        </is>
      </c>
      <c r="B25" s="12" t="inlineStr">
        <is>
          <t>אפסנאות</t>
        </is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10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10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9">
        <f>COUNTIF(D25:CX25,"בסיס")</f>
        <v/>
      </c>
      <c r="CZ25" s="19">
        <f>COUNTIF(D25:CX25,"בית")</f>
        <v/>
      </c>
      <c r="DA25" s="19">
        <f>SUMPRODUCT($D$36:$CX$36,--(D25:CX25="בית"))</f>
        <v/>
      </c>
      <c r="DB25" s="19">
        <f>SUMPRODUCT($D$37:$CX$37,--(D25:CX25="בית"))</f>
        <v/>
      </c>
    </row>
    <row r="26">
      <c r="A26" s="11" t="inlineStr">
        <is>
          <t>אוראל קקון</t>
        </is>
      </c>
      <c r="B26" s="12" t="inlineStr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10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10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9">
        <f>COUNTIF(D26:CX26,"בסיס")</f>
        <v/>
      </c>
      <c r="CZ26" s="19">
        <f>COUNTIF(D26:CX26,"בית")</f>
        <v/>
      </c>
      <c r="DA26" s="19">
        <f>SUMPRODUCT($D$36:$CX$36,--(D26:CX26="בית"))</f>
        <v/>
      </c>
      <c r="DB26" s="19">
        <f>SUMPRODUCT($D$37:$CX$37,--(D26:CX26="בית"))</f>
        <v/>
      </c>
    </row>
    <row r="27">
      <c r="A27" s="11" t="inlineStr">
        <is>
          <t>אלחנן טירי</t>
        </is>
      </c>
      <c r="B27" s="12" t="inlineStr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10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10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9">
        <f>COUNTIF(D27:CX27,"בסיס")</f>
        <v/>
      </c>
      <c r="CZ27" s="19">
        <f>COUNTIF(D27:CX27,"בית")</f>
        <v/>
      </c>
      <c r="DA27" s="19">
        <f>SUMPRODUCT($D$36:$CX$36,--(D27:CX27="בית"))</f>
        <v/>
      </c>
      <c r="DB27" s="19">
        <f>SUMPRODUCT($D$37:$CX$37,--(D27:CX27="בית"))</f>
        <v/>
      </c>
    </row>
    <row r="28">
      <c r="A28" s="11" t="inlineStr">
        <is>
          <t>ארמיאס בלאציאו</t>
        </is>
      </c>
      <c r="B28" s="12" t="inlineStr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10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10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9">
        <f>COUNTIF(D28:CX28,"בסיס")</f>
        <v/>
      </c>
      <c r="CZ28" s="19">
        <f>COUNTIF(D28:CX28,"בית")</f>
        <v/>
      </c>
      <c r="DA28" s="19">
        <f>SUMPRODUCT($D$36:$CX$36,--(D28:CX28="בית"))</f>
        <v/>
      </c>
      <c r="DB28" s="19">
        <f>SUMPRODUCT($D$37:$CX$37,--(D28:CX28="בית"))</f>
        <v/>
      </c>
    </row>
    <row r="29">
      <c r="A29" s="11" t="inlineStr">
        <is>
          <t>משה אברהם</t>
        </is>
      </c>
      <c r="B29" s="12" t="inlineStr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10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10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9">
        <f>COUNTIF(D29:CX29,"בסיס")</f>
        <v/>
      </c>
      <c r="CZ29" s="19">
        <f>COUNTIF(D29:CX29,"בית")</f>
        <v/>
      </c>
      <c r="DA29" s="19">
        <f>SUMPRODUCT($D$36:$CX$36,--(D29:CX29="בית"))</f>
        <v/>
      </c>
      <c r="DB29" s="19">
        <f>SUMPRODUCT($D$37:$CX$37,--(D29:CX29="בית"))</f>
        <v/>
      </c>
    </row>
    <row r="30">
      <c r="A30" s="11" t="inlineStr">
        <is>
          <t>רון אוסטפוב</t>
        </is>
      </c>
      <c r="B30" s="12" t="inlineStr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10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10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9">
        <f>COUNTIF(D30:CX30,"בסיס")</f>
        <v/>
      </c>
      <c r="CZ30" s="19">
        <f>COUNTIF(D30:CX30,"בית")</f>
        <v/>
      </c>
      <c r="DA30" s="19">
        <f>SUMPRODUCT($D$36:$CX$36,--(D30:CX30="בית"))</f>
        <v/>
      </c>
      <c r="DB30" s="19">
        <f>SUMPRODUCT($D$37:$CX$37,--(D30:CX30="בית"))</f>
        <v/>
      </c>
    </row>
    <row r="31">
      <c r="A31" s="20" t="inlineStr">
        <is>
          <t>סה"כ בבסיס</t>
        </is>
      </c>
      <c r="D31" s="21">
        <f>COUNTIF(D5:D30,"בסיס")</f>
        <v/>
      </c>
      <c r="E31" s="21">
        <f>COUNTIF(E5:E30,"בסיס")</f>
        <v/>
      </c>
      <c r="F31" s="21">
        <f>COUNTIF(F5:F30,"בסיס")</f>
        <v/>
      </c>
      <c r="G31" s="21">
        <f>COUNTIF(G5:G30,"בסיס")</f>
        <v/>
      </c>
      <c r="H31" s="21">
        <f>COUNTIF(H5:H30,"בסיס")</f>
        <v/>
      </c>
      <c r="I31" s="21">
        <f>COUNTIF(I5:I30,"בסיס")</f>
        <v/>
      </c>
      <c r="J31" s="21">
        <f>COUNTIF(J5:J30,"בסיס")</f>
        <v/>
      </c>
      <c r="K31" s="21">
        <f>COUNTIF(K5:K30,"בסיס")</f>
        <v/>
      </c>
      <c r="L31" s="21">
        <f>COUNTIF(L5:L30,"בסיס")</f>
        <v/>
      </c>
      <c r="M31" s="21">
        <f>COUNTIF(M5:M30,"בסיס")</f>
        <v/>
      </c>
      <c r="N31" s="21">
        <f>COUNTIF(N5:N30,"בסיס")</f>
        <v/>
      </c>
      <c r="O31" s="21">
        <f>COUNTIF(O5:O30,"בסיס")</f>
        <v/>
      </c>
      <c r="P31" s="21">
        <f>COUNTIF(P5:P30,"בסיס")</f>
        <v/>
      </c>
      <c r="Q31" s="21">
        <f>COUNTIF(Q5:Q30,"בסיס")</f>
        <v/>
      </c>
      <c r="R31" s="21">
        <f>COUNTIF(R5:R30,"בסיס")</f>
        <v/>
      </c>
      <c r="S31" s="21">
        <f>COUNTIF(S5:S30,"בסיס")</f>
        <v/>
      </c>
      <c r="T31" s="21">
        <f>COUNTIF(T5:T30,"בסיס")</f>
        <v/>
      </c>
      <c r="U31" s="21">
        <f>COUNTIF(U5:U30,"בסיס")</f>
        <v/>
      </c>
      <c r="V31" s="21">
        <f>COUNTIF(V5:V30,"בסיס")</f>
        <v/>
      </c>
      <c r="W31" s="21">
        <f>COUNTIF(W5:W30,"בסיס")</f>
        <v/>
      </c>
      <c r="X31" s="21">
        <f>COUNTIF(X5:X30,"בסיס")</f>
        <v/>
      </c>
      <c r="Y31" s="21">
        <f>COUNTIF(Y5:Y30,"בסיס")</f>
        <v/>
      </c>
      <c r="Z31" s="21">
        <f>COUNTIF(Z5:Z30,"בסיס")</f>
        <v/>
      </c>
      <c r="AA31" s="21">
        <f>COUNTIF(AA5:AA30,"בסיס")</f>
        <v/>
      </c>
      <c r="AB31" s="21">
        <f>COUNTIF(AB5:AB30,"בסיס")</f>
        <v/>
      </c>
      <c r="AC31" s="21">
        <f>COUNTIF(AC5:AC30,"בסיס")</f>
        <v/>
      </c>
      <c r="AD31" s="21">
        <f>COUNTIF(AD5:AD30,"בסיס")</f>
        <v/>
      </c>
      <c r="AE31" s="21">
        <f>COUNTIF(AE5:AE30,"בסיס")</f>
        <v/>
      </c>
      <c r="AF31" s="21">
        <f>COUNTIF(AF5:AF30,"בסיס")</f>
        <v/>
      </c>
      <c r="AG31" s="21">
        <f>COUNTIF(AG5:AG30,"בסיס")</f>
        <v/>
      </c>
      <c r="AH31" s="21">
        <f>COUNTIF(AH5:AH30,"בסיס")</f>
        <v/>
      </c>
      <c r="AI31" s="21">
        <f>COUNTIF(AI5:AI30,"בסיס")</f>
        <v/>
      </c>
      <c r="AJ31" s="21">
        <f>COUNTIF(AJ5:AJ30,"בסיס")</f>
        <v/>
      </c>
      <c r="AK31" s="21">
        <f>COUNTIF(AK5:AK30,"בסיס")</f>
        <v/>
      </c>
      <c r="AL31" s="21">
        <f>COUNTIF(AL5:AL30,"בסיס")</f>
        <v/>
      </c>
      <c r="AM31" s="21">
        <f>COUNTIF(AM5:AM30,"בסיס")</f>
        <v/>
      </c>
      <c r="AN31" s="21">
        <f>COUNTIF(AN5:AN30,"בסיס")</f>
        <v/>
      </c>
      <c r="AO31" s="21">
        <f>COUNTIF(AO5:AO30,"בסיס")</f>
        <v/>
      </c>
      <c r="AP31" s="21">
        <f>COUNTIF(AP5:AP30,"בסיס")</f>
        <v/>
      </c>
      <c r="AQ31" s="21">
        <f>COUNTIF(AQ5:AQ30,"בסיס")</f>
        <v/>
      </c>
      <c r="AR31" s="21">
        <f>COUNTIF(AR5:AR30,"בסיס")</f>
        <v/>
      </c>
      <c r="AS31" s="21">
        <f>COUNTIF(AS5:AS30,"בסיס")</f>
        <v/>
      </c>
      <c r="AT31" s="21">
        <f>COUNTIF(AT5:AT30,"בסיס")</f>
        <v/>
      </c>
      <c r="AU31" s="21">
        <f>COUNTIF(AU5:AU30,"בסיס")</f>
        <v/>
      </c>
      <c r="AV31" s="21">
        <f>COUNTIF(AV5:AV30,"בסיס")</f>
        <v/>
      </c>
      <c r="AW31" s="21">
        <f>COUNTIF(AW5:AW30,"בסיס")</f>
        <v/>
      </c>
      <c r="AX31" s="21">
        <f>COUNTIF(AX5:AX30,"בסיס")</f>
        <v/>
      </c>
      <c r="AY31" s="21">
        <f>COUNTIF(AY5:AY30,"בסיס")</f>
        <v/>
      </c>
      <c r="AZ31" s="21">
        <f>COUNTIF(AZ5:AZ30,"בסיס")</f>
        <v/>
      </c>
      <c r="BA31" s="21">
        <f>COUNTIF(BA5:BA30,"בסיס")</f>
        <v/>
      </c>
      <c r="BB31" s="21">
        <f>COUNTIF(BB5:BB30,"בסיס")</f>
        <v/>
      </c>
      <c r="BC31" s="21">
        <f>COUNTIF(BC5:BC30,"בסיס")</f>
        <v/>
      </c>
      <c r="BD31" s="21">
        <f>COUNTIF(BD5:BD30,"בסיס")</f>
        <v/>
      </c>
      <c r="BE31" s="21">
        <f>COUNTIF(BE5:BE30,"בסיס")</f>
        <v/>
      </c>
      <c r="BF31" s="21">
        <f>COUNTIF(BF5:BF30,"בסיס")</f>
        <v/>
      </c>
      <c r="BG31" s="21">
        <f>COUNTIF(BG5:BG30,"בסיס")</f>
        <v/>
      </c>
      <c r="BH31" s="21">
        <f>COUNTIF(BH5:BH30,"בסיס")</f>
        <v/>
      </c>
      <c r="BI31" s="21">
        <f>COUNTIF(BI5:BI30,"בסיס")</f>
        <v/>
      </c>
      <c r="BJ31" s="21">
        <f>COUNTIF(BJ5:BJ30,"בסיס")</f>
        <v/>
      </c>
      <c r="BK31" s="21">
        <f>COUNTIF(BK5:BK30,"בסיס")</f>
        <v/>
      </c>
      <c r="BL31" s="21">
        <f>COUNTIF(BL5:BL30,"בסיס")</f>
        <v/>
      </c>
      <c r="BM31" s="21">
        <f>COUNTIF(BM5:BM30,"בסיס")</f>
        <v/>
      </c>
      <c r="BN31" s="21">
        <f>COUNTIF(BN5:BN30,"בסיס")</f>
        <v/>
      </c>
      <c r="BO31" s="21">
        <f>COUNTIF(BO5:BO30,"בסיס")</f>
        <v/>
      </c>
      <c r="BP31" s="21">
        <f>COUNTIF(BP5:BP30,"בסיס")</f>
        <v/>
      </c>
      <c r="BQ31" s="21">
        <f>COUNTIF(BQ5:BQ30,"בסיס")</f>
        <v/>
      </c>
      <c r="BR31" s="21">
        <f>COUNTIF(BR5:BR30,"בסיס")</f>
        <v/>
      </c>
      <c r="BS31" s="21">
        <f>COUNTIF(BS5:BS30,"בסיס")</f>
        <v/>
      </c>
      <c r="BT31" s="21">
        <f>COUNTIF(BT5:BT30,"בסיס")</f>
        <v/>
      </c>
      <c r="BU31" s="21">
        <f>COUNTIF(BU5:BU30,"בסיס")</f>
        <v/>
      </c>
      <c r="BV31" s="21">
        <f>COUNTIF(BV5:BV30,"בסיס")</f>
        <v/>
      </c>
      <c r="BW31" s="21">
        <f>COUNTIF(BW5:BW30,"בסיס")</f>
        <v/>
      </c>
      <c r="BX31" s="21">
        <f>COUNTIF(BX5:BX30,"בסיס")</f>
        <v/>
      </c>
      <c r="BY31" s="21">
        <f>COUNTIF(BY5:BY30,"בסיס")</f>
        <v/>
      </c>
      <c r="BZ31" s="21">
        <f>COUNTIF(BZ5:BZ30,"בסיס")</f>
        <v/>
      </c>
      <c r="CA31" s="21">
        <f>COUNTIF(CA5:CA30,"בסיס")</f>
        <v/>
      </c>
      <c r="CB31" s="21">
        <f>COUNTIF(CB5:CB30,"בסיס")</f>
        <v/>
      </c>
      <c r="CC31" s="21">
        <f>COUNTIF(CC5:CC30,"בסיס")</f>
        <v/>
      </c>
      <c r="CD31" s="21">
        <f>COUNTIF(CD5:CD30,"בסיס")</f>
        <v/>
      </c>
      <c r="CE31" s="21">
        <f>COUNTIF(CE5:CE30,"בסיס")</f>
        <v/>
      </c>
      <c r="CF31" s="21">
        <f>COUNTIF(CF5:CF30,"בסיס")</f>
        <v/>
      </c>
      <c r="CG31" s="21">
        <f>COUNTIF(CG5:CG30,"בסיס")</f>
        <v/>
      </c>
      <c r="CH31" s="21">
        <f>COUNTIF(CH5:CH30,"בסיס")</f>
        <v/>
      </c>
      <c r="CI31" s="21">
        <f>COUNTIF(CI5:CI30,"בסיס")</f>
        <v/>
      </c>
      <c r="CJ31" s="21">
        <f>COUNTIF(CJ5:CJ30,"בסיס")</f>
        <v/>
      </c>
      <c r="CK31" s="21">
        <f>COUNTIF(CK5:CK30,"בסיס")</f>
        <v/>
      </c>
      <c r="CL31" s="21">
        <f>COUNTIF(CL5:CL30,"בסיס")</f>
        <v/>
      </c>
      <c r="CM31" s="21">
        <f>COUNTIF(CM5:CM30,"בסיס")</f>
        <v/>
      </c>
      <c r="CN31" s="21">
        <f>COUNTIF(CN5:CN30,"בסיס")</f>
        <v/>
      </c>
      <c r="CO31" s="21">
        <f>COUNTIF(CO5:CO30,"בסיס")</f>
        <v/>
      </c>
      <c r="CP31" s="21">
        <f>COUNTIF(CP5:CP30,"בסיס")</f>
        <v/>
      </c>
      <c r="CQ31" s="21">
        <f>COUNTIF(CQ5:CQ30,"בסיס")</f>
        <v/>
      </c>
      <c r="CR31" s="21">
        <f>COUNTIF(CR5:CR30,"בסיס")</f>
        <v/>
      </c>
      <c r="CS31" s="21">
        <f>COUNTIF(CS5:CS30,"בסיס")</f>
        <v/>
      </c>
      <c r="CT31" s="21">
        <f>COUNTIF(CT5:CT30,"בסיס")</f>
        <v/>
      </c>
      <c r="CU31" s="21">
        <f>COUNTIF(CU5:CU30,"בסיס")</f>
        <v/>
      </c>
      <c r="CV31" s="21">
        <f>COUNTIF(CV5:CV30,"בסיס")</f>
        <v/>
      </c>
      <c r="CW31" s="21">
        <f>COUNTIF(CW5:CW30,"בסיס")</f>
        <v/>
      </c>
      <c r="CX31" s="21">
        <f>COUNTIF(CX5:CX30,"בסיס")</f>
        <v/>
      </c>
    </row>
    <row r="32">
      <c r="A32" s="20" t="inlineStr">
        <is>
          <t>נשקייה בבסיס</t>
        </is>
      </c>
      <c r="D32" s="21">
        <f>COUNTIFS($B$5:$B$30,"*נשקייה*",D5:D30,"בסיס")</f>
        <v/>
      </c>
      <c r="E32" s="21">
        <f>COUNTIFS($B$5:$B$30,"*נשקייה*",E5:E30,"בסיס")</f>
        <v/>
      </c>
      <c r="F32" s="21">
        <f>COUNTIFS($B$5:$B$30,"*נשקייה*",F5:F30,"בסיס")</f>
        <v/>
      </c>
      <c r="G32" s="21">
        <f>COUNTIFS($B$5:$B$30,"*נשקייה*",G5:G30,"בסיס")</f>
        <v/>
      </c>
      <c r="H32" s="21">
        <f>COUNTIFS($B$5:$B$30,"*נשקייה*",H5:H30,"בסיס")</f>
        <v/>
      </c>
      <c r="I32" s="21">
        <f>COUNTIFS($B$5:$B$30,"*נשקייה*",I5:I30,"בסיס")</f>
        <v/>
      </c>
      <c r="J32" s="21">
        <f>COUNTIFS($B$5:$B$30,"*נשקייה*",J5:J30,"בסיס")</f>
        <v/>
      </c>
      <c r="K32" s="21">
        <f>COUNTIFS($B$5:$B$30,"*נשקייה*",K5:K30,"בסיס")</f>
        <v/>
      </c>
      <c r="L32" s="21">
        <f>COUNTIFS($B$5:$B$30,"*נשקייה*",L5:L30,"בסיס")</f>
        <v/>
      </c>
      <c r="M32" s="21">
        <f>COUNTIFS($B$5:$B$30,"*נשקייה*",M5:M30,"בסיס")</f>
        <v/>
      </c>
      <c r="N32" s="21">
        <f>COUNTIFS($B$5:$B$30,"*נשקייה*",N5:N30,"בסיס")</f>
        <v/>
      </c>
      <c r="O32" s="21">
        <f>COUNTIFS($B$5:$B$30,"*נשקייה*",O5:O30,"בסיס")</f>
        <v/>
      </c>
      <c r="P32" s="21">
        <f>COUNTIFS($B$5:$B$30,"*נשקייה*",P5:P30,"בסיס")</f>
        <v/>
      </c>
      <c r="Q32" s="21">
        <f>COUNTIFS($B$5:$B$30,"*נשקייה*",Q5:Q30,"בסיס")</f>
        <v/>
      </c>
      <c r="R32" s="21">
        <f>COUNTIFS($B$5:$B$30,"*נשקייה*",R5:R30,"בסיס")</f>
        <v/>
      </c>
      <c r="S32" s="21">
        <f>COUNTIFS($B$5:$B$30,"*נשקייה*",S5:S30,"בסיס")</f>
        <v/>
      </c>
      <c r="T32" s="21">
        <f>COUNTIFS($B$5:$B$30,"*נשקייה*",T5:T30,"בסיס")</f>
        <v/>
      </c>
      <c r="U32" s="21">
        <f>COUNTIFS($B$5:$B$30,"*נשקייה*",U5:U30,"בסיס")</f>
        <v/>
      </c>
      <c r="V32" s="21">
        <f>COUNTIFS($B$5:$B$30,"*נשקייה*",V5:V30,"בסיס")</f>
        <v/>
      </c>
      <c r="W32" s="21">
        <f>COUNTIFS($B$5:$B$30,"*נשקייה*",W5:W30,"בסיס")</f>
        <v/>
      </c>
      <c r="X32" s="21">
        <f>COUNTIFS($B$5:$B$30,"*נשקייה*",X5:X30,"בסיס")</f>
        <v/>
      </c>
      <c r="Y32" s="21">
        <f>COUNTIFS($B$5:$B$30,"*נשקייה*",Y5:Y30,"בסיס")</f>
        <v/>
      </c>
      <c r="Z32" s="21">
        <f>COUNTIFS($B$5:$B$30,"*נשקייה*",Z5:Z30,"בסיס")</f>
        <v/>
      </c>
      <c r="AA32" s="21">
        <f>COUNTIFS($B$5:$B$30,"*נשקייה*",AA5:AA30,"בסיס")</f>
        <v/>
      </c>
      <c r="AB32" s="21">
        <f>COUNTIFS($B$5:$B$30,"*נשקייה*",AB5:AB30,"בסיס")</f>
        <v/>
      </c>
      <c r="AC32" s="21">
        <f>COUNTIFS($B$5:$B$30,"*נשקייה*",AC5:AC30,"בסיס")</f>
        <v/>
      </c>
      <c r="AD32" s="21">
        <f>COUNTIFS($B$5:$B$30,"*נשקייה*",AD5:AD30,"בסיס")</f>
        <v/>
      </c>
      <c r="AE32" s="21">
        <f>COUNTIFS($B$5:$B$30,"*נשקייה*",AE5:AE30,"בסיס")</f>
        <v/>
      </c>
      <c r="AF32" s="21">
        <f>COUNTIFS($B$5:$B$30,"*נשקייה*",AF5:AF30,"בסיס")</f>
        <v/>
      </c>
      <c r="AG32" s="21">
        <f>COUNTIFS($B$5:$B$30,"*נשקייה*",AG5:AG30,"בסיס")</f>
        <v/>
      </c>
      <c r="AH32" s="21">
        <f>COUNTIFS($B$5:$B$30,"*נשקייה*",AH5:AH30,"בסיס")</f>
        <v/>
      </c>
      <c r="AI32" s="21">
        <f>COUNTIFS($B$5:$B$30,"*נשקייה*",AI5:AI30,"בסיס")</f>
        <v/>
      </c>
      <c r="AJ32" s="21">
        <f>COUNTIFS($B$5:$B$30,"*נשקייה*",AJ5:AJ30,"בסיס")</f>
        <v/>
      </c>
      <c r="AK32" s="21">
        <f>COUNTIFS($B$5:$B$30,"*נשקייה*",AK5:AK30,"בסיס")</f>
        <v/>
      </c>
      <c r="AL32" s="21">
        <f>COUNTIFS($B$5:$B$30,"*נשקייה*",AL5:AL30,"בסיס")</f>
        <v/>
      </c>
      <c r="AM32" s="21">
        <f>COUNTIFS($B$5:$B$30,"*נשקייה*",AM5:AM30,"בסיס")</f>
        <v/>
      </c>
      <c r="AN32" s="21">
        <f>COUNTIFS($B$5:$B$30,"*נשקייה*",AN5:AN30,"בסיס")</f>
        <v/>
      </c>
      <c r="AO32" s="21">
        <f>COUNTIFS($B$5:$B$30,"*נשקייה*",AO5:AO30,"בסיס")</f>
        <v/>
      </c>
      <c r="AP32" s="21">
        <f>COUNTIFS($B$5:$B$30,"*נשקייה*",AP5:AP30,"בסיס")</f>
        <v/>
      </c>
      <c r="AQ32" s="21">
        <f>COUNTIFS($B$5:$B$30,"*נשקייה*",AQ5:AQ30,"בסיס")</f>
        <v/>
      </c>
      <c r="AR32" s="21">
        <f>COUNTIFS($B$5:$B$30,"*נשקייה*",AR5:AR30,"בסיס")</f>
        <v/>
      </c>
      <c r="AS32" s="21">
        <f>COUNTIFS($B$5:$B$30,"*נשקייה*",AS5:AS30,"בסיס")</f>
        <v/>
      </c>
      <c r="AT32" s="21">
        <f>COUNTIFS($B$5:$B$30,"*נשקייה*",AT5:AT30,"בסיס")</f>
        <v/>
      </c>
      <c r="AU32" s="21">
        <f>COUNTIFS($B$5:$B$30,"*נשקייה*",AU5:AU30,"בסיס")</f>
        <v/>
      </c>
      <c r="AV32" s="21">
        <f>COUNTIFS($B$5:$B$30,"*נשקייה*",AV5:AV30,"בסיס")</f>
        <v/>
      </c>
      <c r="AW32" s="21">
        <f>COUNTIFS($B$5:$B$30,"*נשקייה*",AW5:AW30,"בסיס")</f>
        <v/>
      </c>
      <c r="AX32" s="21">
        <f>COUNTIFS($B$5:$B$30,"*נשקייה*",AX5:AX30,"בסיס")</f>
        <v/>
      </c>
      <c r="AY32" s="21">
        <f>COUNTIFS($B$5:$B$30,"*נשקייה*",AY5:AY30,"בסיס")</f>
        <v/>
      </c>
      <c r="AZ32" s="21">
        <f>COUNTIFS($B$5:$B$30,"*נשקייה*",AZ5:AZ30,"בסיס")</f>
        <v/>
      </c>
      <c r="BA32" s="21">
        <f>COUNTIFS($B$5:$B$30,"*נשקייה*",BA5:BA30,"בסיס")</f>
        <v/>
      </c>
      <c r="BB32" s="21">
        <f>COUNTIFS($B$5:$B$30,"*נשקייה*",BB5:BB30,"בסיס")</f>
        <v/>
      </c>
      <c r="BC32" s="21">
        <f>COUNTIFS($B$5:$B$30,"*נשקייה*",BC5:BC30,"בסיס")</f>
        <v/>
      </c>
      <c r="BD32" s="21">
        <f>COUNTIFS($B$5:$B$30,"*נשקייה*",BD5:BD30,"בסיס")</f>
        <v/>
      </c>
      <c r="BE32" s="21">
        <f>COUNTIFS($B$5:$B$30,"*נשקייה*",BE5:BE30,"בסיס")</f>
        <v/>
      </c>
      <c r="BF32" s="21">
        <f>COUNTIFS($B$5:$B$30,"*נשקייה*",BF5:BF30,"בסיס")</f>
        <v/>
      </c>
      <c r="BG32" s="21">
        <f>COUNTIFS($B$5:$B$30,"*נשקייה*",BG5:BG30,"בסיס")</f>
        <v/>
      </c>
      <c r="BH32" s="21">
        <f>COUNTIFS($B$5:$B$30,"*נשקייה*",BH5:BH30,"בסיס")</f>
        <v/>
      </c>
      <c r="BI32" s="21">
        <f>COUNTIFS($B$5:$B$30,"*נשקייה*",BI5:BI30,"בסיס")</f>
        <v/>
      </c>
      <c r="BJ32" s="21">
        <f>COUNTIFS($B$5:$B$30,"*נשקייה*",BJ5:BJ30,"בסיס")</f>
        <v/>
      </c>
      <c r="BK32" s="21">
        <f>COUNTIFS($B$5:$B$30,"*נשקייה*",BK5:BK30,"בסיס")</f>
        <v/>
      </c>
      <c r="BL32" s="21">
        <f>COUNTIFS($B$5:$B$30,"*נשקייה*",BL5:BL30,"בסיס")</f>
        <v/>
      </c>
      <c r="BM32" s="21">
        <f>COUNTIFS($B$5:$B$30,"*נשקייה*",BM5:BM30,"בסיס")</f>
        <v/>
      </c>
      <c r="BN32" s="21">
        <f>COUNTIFS($B$5:$B$30,"*נשקייה*",BN5:BN30,"בסיס")</f>
        <v/>
      </c>
      <c r="BO32" s="21">
        <f>COUNTIFS($B$5:$B$30,"*נשקייה*",BO5:BO30,"בסיס")</f>
        <v/>
      </c>
      <c r="BP32" s="21">
        <f>COUNTIFS($B$5:$B$30,"*נשקייה*",BP5:BP30,"בסיס")</f>
        <v/>
      </c>
      <c r="BQ32" s="21">
        <f>COUNTIFS($B$5:$B$30,"*נשקייה*",BQ5:BQ30,"בסיס")</f>
        <v/>
      </c>
      <c r="BR32" s="21">
        <f>COUNTIFS($B$5:$B$30,"*נשקייה*",BR5:BR30,"בסיס")</f>
        <v/>
      </c>
      <c r="BS32" s="21">
        <f>COUNTIFS($B$5:$B$30,"*נשקייה*",BS5:BS30,"בסיס")</f>
        <v/>
      </c>
      <c r="BT32" s="21">
        <f>COUNTIFS($B$5:$B$30,"*נשקייה*",BT5:BT30,"בסיס")</f>
        <v/>
      </c>
      <c r="BU32" s="21">
        <f>COUNTIFS($B$5:$B$30,"*נשקייה*",BU5:BU30,"בסיס")</f>
        <v/>
      </c>
      <c r="BV32" s="21">
        <f>COUNTIFS($B$5:$B$30,"*נשקייה*",BV5:BV30,"בסיס")</f>
        <v/>
      </c>
      <c r="BW32" s="21">
        <f>COUNTIFS($B$5:$B$30,"*נשקייה*",BW5:BW30,"בסיס")</f>
        <v/>
      </c>
      <c r="BX32" s="21">
        <f>COUNTIFS($B$5:$B$30,"*נשקייה*",BX5:BX30,"בסיס")</f>
        <v/>
      </c>
      <c r="BY32" s="21">
        <f>COUNTIFS($B$5:$B$30,"*נשקייה*",BY5:BY30,"בסיס")</f>
        <v/>
      </c>
      <c r="BZ32" s="21">
        <f>COUNTIFS($B$5:$B$30,"*נשקייה*",BZ5:BZ30,"בסיס")</f>
        <v/>
      </c>
      <c r="CA32" s="21">
        <f>COUNTIFS($B$5:$B$30,"*נשקייה*",CA5:CA30,"בסיס")</f>
        <v/>
      </c>
      <c r="CB32" s="21">
        <f>COUNTIFS($B$5:$B$30,"*נשקייה*",CB5:CB30,"בסיס")</f>
        <v/>
      </c>
      <c r="CC32" s="21">
        <f>COUNTIFS($B$5:$B$30,"*נשקייה*",CC5:CC30,"בסיס")</f>
        <v/>
      </c>
      <c r="CD32" s="21">
        <f>COUNTIFS($B$5:$B$30,"*נשקייה*",CD5:CD30,"בסיס")</f>
        <v/>
      </c>
      <c r="CE32" s="21">
        <f>COUNTIFS($B$5:$B$30,"*נשקייה*",CE5:CE30,"בסיס")</f>
        <v/>
      </c>
      <c r="CF32" s="21">
        <f>COUNTIFS($B$5:$B$30,"*נשקייה*",CF5:CF30,"בסיס")</f>
        <v/>
      </c>
      <c r="CG32" s="21">
        <f>COUNTIFS($B$5:$B$30,"*נשקייה*",CG5:CG30,"בסיס")</f>
        <v/>
      </c>
      <c r="CH32" s="21">
        <f>COUNTIFS($B$5:$B$30,"*נשקייה*",CH5:CH30,"בסיס")</f>
        <v/>
      </c>
      <c r="CI32" s="21">
        <f>COUNTIFS($B$5:$B$30,"*נשקייה*",CI5:CI30,"בסיס")</f>
        <v/>
      </c>
      <c r="CJ32" s="21">
        <f>COUNTIFS($B$5:$B$30,"*נשקייה*",CJ5:CJ30,"בסיס")</f>
        <v/>
      </c>
      <c r="CK32" s="21">
        <f>COUNTIFS($B$5:$B$30,"*נשקייה*",CK5:CK30,"בסיס")</f>
        <v/>
      </c>
      <c r="CL32" s="21">
        <f>COUNTIFS($B$5:$B$30,"*נשקייה*",CL5:CL30,"בסיס")</f>
        <v/>
      </c>
      <c r="CM32" s="21">
        <f>COUNTIFS($B$5:$B$30,"*נשקייה*",CM5:CM30,"בסיס")</f>
        <v/>
      </c>
      <c r="CN32" s="21">
        <f>COUNTIFS($B$5:$B$30,"*נשקייה*",CN5:CN30,"בסיס")</f>
        <v/>
      </c>
      <c r="CO32" s="21">
        <f>COUNTIFS($B$5:$B$30,"*נשקייה*",CO5:CO30,"בסיס")</f>
        <v/>
      </c>
      <c r="CP32" s="21">
        <f>COUNTIFS($B$5:$B$30,"*נשקייה*",CP5:CP30,"בסיס")</f>
        <v/>
      </c>
      <c r="CQ32" s="21">
        <f>COUNTIFS($B$5:$B$30,"*נשקייה*",CQ5:CQ30,"בסיס")</f>
        <v/>
      </c>
      <c r="CR32" s="21">
        <f>COUNTIFS($B$5:$B$30,"*נשקייה*",CR5:CR30,"בסיס")</f>
        <v/>
      </c>
      <c r="CS32" s="21">
        <f>COUNTIFS($B$5:$B$30,"*נשקייה*",CS5:CS30,"בסיס")</f>
        <v/>
      </c>
      <c r="CT32" s="21">
        <f>COUNTIFS($B$5:$B$30,"*נשקייה*",CT5:CT30,"בסיס")</f>
        <v/>
      </c>
      <c r="CU32" s="21">
        <f>COUNTIFS($B$5:$B$30,"*נשקייה*",CU5:CU30,"בסיס")</f>
        <v/>
      </c>
      <c r="CV32" s="21">
        <f>COUNTIFS($B$5:$B$30,"*נשקייה*",CV5:CV30,"בסיס")</f>
        <v/>
      </c>
      <c r="CW32" s="21">
        <f>COUNTIFS($B$5:$B$30,"*נשקייה*",CW5:CW30,"בסיס")</f>
        <v/>
      </c>
      <c r="CX32" s="21">
        <f>COUNTIFS($B$5:$B$30,"*נשקייה*",CX5:CX30,"בסיס")</f>
        <v/>
      </c>
    </row>
    <row r="33">
      <c r="A33" s="20" t="inlineStr">
        <is>
          <t>אפסנאות בבסיס</t>
        </is>
      </c>
      <c r="D33" s="21">
        <f>COUNTIFS($B$5:$B$30,"*אפסנאות*",D5:D30,"בסיס")</f>
        <v/>
      </c>
      <c r="E33" s="21">
        <f>COUNTIFS($B$5:$B$30,"*אפסנאות*",E5:E30,"בסיס")</f>
        <v/>
      </c>
      <c r="F33" s="21">
        <f>COUNTIFS($B$5:$B$30,"*אפסנאות*",F5:F30,"בסיס")</f>
        <v/>
      </c>
      <c r="G33" s="21">
        <f>COUNTIFS($B$5:$B$30,"*אפסנאות*",G5:G30,"בסיס")</f>
        <v/>
      </c>
      <c r="H33" s="21">
        <f>COUNTIFS($B$5:$B$30,"*אפסנאות*",H5:H30,"בסיס")</f>
        <v/>
      </c>
      <c r="I33" s="21">
        <f>COUNTIFS($B$5:$B$30,"*אפסנאות*",I5:I30,"בסיס")</f>
        <v/>
      </c>
      <c r="J33" s="21">
        <f>COUNTIFS($B$5:$B$30,"*אפסנאות*",J5:J30,"בסיס")</f>
        <v/>
      </c>
      <c r="K33" s="21">
        <f>COUNTIFS($B$5:$B$30,"*אפסנאות*",K5:K30,"בסיס")</f>
        <v/>
      </c>
      <c r="L33" s="21">
        <f>COUNTIFS($B$5:$B$30,"*אפסנאות*",L5:L30,"בסיס")</f>
        <v/>
      </c>
      <c r="M33" s="21">
        <f>COUNTIFS($B$5:$B$30,"*אפסנאות*",M5:M30,"בסיס")</f>
        <v/>
      </c>
      <c r="N33" s="21">
        <f>COUNTIFS($B$5:$B$30,"*אפסנאות*",N5:N30,"בסיס")</f>
        <v/>
      </c>
      <c r="O33" s="21">
        <f>COUNTIFS($B$5:$B$30,"*אפסנאות*",O5:O30,"בסיס")</f>
        <v/>
      </c>
      <c r="P33" s="21">
        <f>COUNTIFS($B$5:$B$30,"*אפסנאות*",P5:P30,"בסיס")</f>
        <v/>
      </c>
      <c r="Q33" s="21">
        <f>COUNTIFS($B$5:$B$30,"*אפסנאות*",Q5:Q30,"בסיס")</f>
        <v/>
      </c>
      <c r="R33" s="21">
        <f>COUNTIFS($B$5:$B$30,"*אפסנאות*",R5:R30,"בסיס")</f>
        <v/>
      </c>
      <c r="S33" s="21">
        <f>COUNTIFS($B$5:$B$30,"*אפסנאות*",S5:S30,"בסיס")</f>
        <v/>
      </c>
      <c r="T33" s="21">
        <f>COUNTIFS($B$5:$B$30,"*אפסנאות*",T5:T30,"בסיס")</f>
        <v/>
      </c>
      <c r="U33" s="21">
        <f>COUNTIFS($B$5:$B$30,"*אפסנאות*",U5:U30,"בסיס")</f>
        <v/>
      </c>
      <c r="V33" s="21">
        <f>COUNTIFS($B$5:$B$30,"*אפסנאות*",V5:V30,"בסיס")</f>
        <v/>
      </c>
      <c r="W33" s="21">
        <f>COUNTIFS($B$5:$B$30,"*אפסנאות*",W5:W30,"בסיס")</f>
        <v/>
      </c>
      <c r="X33" s="21">
        <f>COUNTIFS($B$5:$B$30,"*אפסנאות*",X5:X30,"בסיס")</f>
        <v/>
      </c>
      <c r="Y33" s="21">
        <f>COUNTIFS($B$5:$B$30,"*אפסנאות*",Y5:Y30,"בסיס")</f>
        <v/>
      </c>
      <c r="Z33" s="21">
        <f>COUNTIFS($B$5:$B$30,"*אפסנאות*",Z5:Z30,"בסיס")</f>
        <v/>
      </c>
      <c r="AA33" s="21">
        <f>COUNTIFS($B$5:$B$30,"*אפסנאות*",AA5:AA30,"בסיס")</f>
        <v/>
      </c>
      <c r="AB33" s="21">
        <f>COUNTIFS($B$5:$B$30,"*אפסנאות*",AB5:AB30,"בסיס")</f>
        <v/>
      </c>
      <c r="AC33" s="21">
        <f>COUNTIFS($B$5:$B$30,"*אפסנאות*",AC5:AC30,"בסיס")</f>
        <v/>
      </c>
      <c r="AD33" s="21">
        <f>COUNTIFS($B$5:$B$30,"*אפסנאות*",AD5:AD30,"בסיס")</f>
        <v/>
      </c>
      <c r="AE33" s="21">
        <f>COUNTIFS($B$5:$B$30,"*אפסנאות*",AE5:AE30,"בסיס")</f>
        <v/>
      </c>
      <c r="AF33" s="21">
        <f>COUNTIFS($B$5:$B$30,"*אפסנאות*",AF5:AF30,"בסיס")</f>
        <v/>
      </c>
      <c r="AG33" s="21">
        <f>COUNTIFS($B$5:$B$30,"*אפסנאות*",AG5:AG30,"בסיס")</f>
        <v/>
      </c>
      <c r="AH33" s="21">
        <f>COUNTIFS($B$5:$B$30,"*אפסנאות*",AH5:AH30,"בסיס")</f>
        <v/>
      </c>
      <c r="AI33" s="21">
        <f>COUNTIFS($B$5:$B$30,"*אפסנאות*",AI5:AI30,"בסיס")</f>
        <v/>
      </c>
      <c r="AJ33" s="21">
        <f>COUNTIFS($B$5:$B$30,"*אפסנאות*",AJ5:AJ30,"בסיס")</f>
        <v/>
      </c>
      <c r="AK33" s="21">
        <f>COUNTIFS($B$5:$B$30,"*אפסנאות*",AK5:AK30,"בסיס")</f>
        <v/>
      </c>
      <c r="AL33" s="21">
        <f>COUNTIFS($B$5:$B$30,"*אפסנאות*",AL5:AL30,"בסיס")</f>
        <v/>
      </c>
      <c r="AM33" s="21">
        <f>COUNTIFS($B$5:$B$30,"*אפסנאות*",AM5:AM30,"בסיס")</f>
        <v/>
      </c>
      <c r="AN33" s="21">
        <f>COUNTIFS($B$5:$B$30,"*אפסנאות*",AN5:AN30,"בסיס")</f>
        <v/>
      </c>
      <c r="AO33" s="21">
        <f>COUNTIFS($B$5:$B$30,"*אפסנאות*",AO5:AO30,"בסיס")</f>
        <v/>
      </c>
      <c r="AP33" s="21">
        <f>COUNTIFS($B$5:$B$30,"*אפסנאות*",AP5:AP30,"בסיס")</f>
        <v/>
      </c>
      <c r="AQ33" s="21">
        <f>COUNTIFS($B$5:$B$30,"*אפסנאות*",AQ5:AQ30,"בסיס")</f>
        <v/>
      </c>
      <c r="AR33" s="21">
        <f>COUNTIFS($B$5:$B$30,"*אפסנאות*",AR5:AR30,"בסיס")</f>
        <v/>
      </c>
      <c r="AS33" s="21">
        <f>COUNTIFS($B$5:$B$30,"*אפסנאות*",AS5:AS30,"בסיס")</f>
        <v/>
      </c>
      <c r="AT33" s="21">
        <f>COUNTIFS($B$5:$B$30,"*אפסנאות*",AT5:AT30,"בסיס")</f>
        <v/>
      </c>
      <c r="AU33" s="21">
        <f>COUNTIFS($B$5:$B$30,"*אפסנאות*",AU5:AU30,"בסיס")</f>
        <v/>
      </c>
      <c r="AV33" s="21">
        <f>COUNTIFS($B$5:$B$30,"*אפסנאות*",AV5:AV30,"בסיס")</f>
        <v/>
      </c>
      <c r="AW33" s="21">
        <f>COUNTIFS($B$5:$B$30,"*אפסנאות*",AW5:AW30,"בסיס")</f>
        <v/>
      </c>
      <c r="AX33" s="21">
        <f>COUNTIFS($B$5:$B$30,"*אפסנאות*",AX5:AX30,"בסיס")</f>
        <v/>
      </c>
      <c r="AY33" s="21">
        <f>COUNTIFS($B$5:$B$30,"*אפסנאות*",AY5:AY30,"בסיס")</f>
        <v/>
      </c>
      <c r="AZ33" s="21">
        <f>COUNTIFS($B$5:$B$30,"*אפסנאות*",AZ5:AZ30,"בסיס")</f>
        <v/>
      </c>
      <c r="BA33" s="21">
        <f>COUNTIFS($B$5:$B$30,"*אפסנאות*",BA5:BA30,"בסיס")</f>
        <v/>
      </c>
      <c r="BB33" s="21">
        <f>COUNTIFS($B$5:$B$30,"*אפסנאות*",BB5:BB30,"בסיס")</f>
        <v/>
      </c>
      <c r="BC33" s="21">
        <f>COUNTIFS($B$5:$B$30,"*אפסנאות*",BC5:BC30,"בסיס")</f>
        <v/>
      </c>
      <c r="BD33" s="21">
        <f>COUNTIFS($B$5:$B$30,"*אפסנאות*",BD5:BD30,"בסיס")</f>
        <v/>
      </c>
      <c r="BE33" s="21">
        <f>COUNTIFS($B$5:$B$30,"*אפסנאות*",BE5:BE30,"בסיס")</f>
        <v/>
      </c>
      <c r="BF33" s="21">
        <f>COUNTIFS($B$5:$B$30,"*אפסנאות*",BF5:BF30,"בסיס")</f>
        <v/>
      </c>
      <c r="BG33" s="21">
        <f>COUNTIFS($B$5:$B$30,"*אפסנאות*",BG5:BG30,"בסיס")</f>
        <v/>
      </c>
      <c r="BH33" s="21">
        <f>COUNTIFS($B$5:$B$30,"*אפסנאות*",BH5:BH30,"בסיס")</f>
        <v/>
      </c>
      <c r="BI33" s="21">
        <f>COUNTIFS($B$5:$B$30,"*אפסנאות*",BI5:BI30,"בסיס")</f>
        <v/>
      </c>
      <c r="BJ33" s="21">
        <f>COUNTIFS($B$5:$B$30,"*אפסנאות*",BJ5:BJ30,"בסיס")</f>
        <v/>
      </c>
      <c r="BK33" s="21">
        <f>COUNTIFS($B$5:$B$30,"*אפסנאות*",BK5:BK30,"בסיס")</f>
        <v/>
      </c>
      <c r="BL33" s="21">
        <f>COUNTIFS($B$5:$B$30,"*אפסנאות*",BL5:BL30,"בסיס")</f>
        <v/>
      </c>
      <c r="BM33" s="21">
        <f>COUNTIFS($B$5:$B$30,"*אפסנאות*",BM5:BM30,"בסיס")</f>
        <v/>
      </c>
      <c r="BN33" s="21">
        <f>COUNTIFS($B$5:$B$30,"*אפסנאות*",BN5:BN30,"בסיס")</f>
        <v/>
      </c>
      <c r="BO33" s="21">
        <f>COUNTIFS($B$5:$B$30,"*אפסנאות*",BO5:BO30,"בסיס")</f>
        <v/>
      </c>
      <c r="BP33" s="21">
        <f>COUNTIFS($B$5:$B$30,"*אפסנאות*",BP5:BP30,"בסיס")</f>
        <v/>
      </c>
      <c r="BQ33" s="21">
        <f>COUNTIFS($B$5:$B$30,"*אפסנאות*",BQ5:BQ30,"בסיס")</f>
        <v/>
      </c>
      <c r="BR33" s="21">
        <f>COUNTIFS($B$5:$B$30,"*אפסנאות*",BR5:BR30,"בסיס")</f>
        <v/>
      </c>
      <c r="BS33" s="21">
        <f>COUNTIFS($B$5:$B$30,"*אפסנאות*",BS5:BS30,"בסיס")</f>
        <v/>
      </c>
      <c r="BT33" s="21">
        <f>COUNTIFS($B$5:$B$30,"*אפסנאות*",BT5:BT30,"בסיס")</f>
        <v/>
      </c>
      <c r="BU33" s="21">
        <f>COUNTIFS($B$5:$B$30,"*אפסנאות*",BU5:BU30,"בסיס")</f>
        <v/>
      </c>
      <c r="BV33" s="21">
        <f>COUNTIFS($B$5:$B$30,"*אפסנאות*",BV5:BV30,"בסיס")</f>
        <v/>
      </c>
      <c r="BW33" s="21">
        <f>COUNTIFS($B$5:$B$30,"*אפסנאות*",BW5:BW30,"בסיס")</f>
        <v/>
      </c>
      <c r="BX33" s="21">
        <f>COUNTIFS($B$5:$B$30,"*אפסנאות*",BX5:BX30,"בסיס")</f>
        <v/>
      </c>
      <c r="BY33" s="21">
        <f>COUNTIFS($B$5:$B$30,"*אפסנאות*",BY5:BY30,"בסיס")</f>
        <v/>
      </c>
      <c r="BZ33" s="21">
        <f>COUNTIFS($B$5:$B$30,"*אפסנאות*",BZ5:BZ30,"בסיס")</f>
        <v/>
      </c>
      <c r="CA33" s="21">
        <f>COUNTIFS($B$5:$B$30,"*אפסנאות*",CA5:CA30,"בסיס")</f>
        <v/>
      </c>
      <c r="CB33" s="21">
        <f>COUNTIFS($B$5:$B$30,"*אפסנאות*",CB5:CB30,"בסיס")</f>
        <v/>
      </c>
      <c r="CC33" s="21">
        <f>COUNTIFS($B$5:$B$30,"*אפסנאות*",CC5:CC30,"בסיס")</f>
        <v/>
      </c>
      <c r="CD33" s="21">
        <f>COUNTIFS($B$5:$B$30,"*אפסנאות*",CD5:CD30,"בסיס")</f>
        <v/>
      </c>
      <c r="CE33" s="21">
        <f>COUNTIFS($B$5:$B$30,"*אפסנאות*",CE5:CE30,"בסיס")</f>
        <v/>
      </c>
      <c r="CF33" s="21">
        <f>COUNTIFS($B$5:$B$30,"*אפסנאות*",CF5:CF30,"בסיס")</f>
        <v/>
      </c>
      <c r="CG33" s="21">
        <f>COUNTIFS($B$5:$B$30,"*אפסנאות*",CG5:CG30,"בסיס")</f>
        <v/>
      </c>
      <c r="CH33" s="21">
        <f>COUNTIFS($B$5:$B$30,"*אפסנאות*",CH5:CH30,"בסיס")</f>
        <v/>
      </c>
      <c r="CI33" s="21">
        <f>COUNTIFS($B$5:$B$30,"*אפסנאות*",CI5:CI30,"בסיס")</f>
        <v/>
      </c>
      <c r="CJ33" s="21">
        <f>COUNTIFS($B$5:$B$30,"*אפסנאות*",CJ5:CJ30,"בסיס")</f>
        <v/>
      </c>
      <c r="CK33" s="21">
        <f>COUNTIFS($B$5:$B$30,"*אפסנאות*",CK5:CK30,"בסיס")</f>
        <v/>
      </c>
      <c r="CL33" s="21">
        <f>COUNTIFS($B$5:$B$30,"*אפסנאות*",CL5:CL30,"בסיס")</f>
        <v/>
      </c>
      <c r="CM33" s="21">
        <f>COUNTIFS($B$5:$B$30,"*אפסנאות*",CM5:CM30,"בסיס")</f>
        <v/>
      </c>
      <c r="CN33" s="21">
        <f>COUNTIFS($B$5:$B$30,"*אפסנאות*",CN5:CN30,"בסיס")</f>
        <v/>
      </c>
      <c r="CO33" s="21">
        <f>COUNTIFS($B$5:$B$30,"*אפסנאות*",CO5:CO30,"בסיס")</f>
        <v/>
      </c>
      <c r="CP33" s="21">
        <f>COUNTIFS($B$5:$B$30,"*אפסנאות*",CP5:CP30,"בסיס")</f>
        <v/>
      </c>
      <c r="CQ33" s="21">
        <f>COUNTIFS($B$5:$B$30,"*אפסנאות*",CQ5:CQ30,"בסיס")</f>
        <v/>
      </c>
      <c r="CR33" s="21">
        <f>COUNTIFS($B$5:$B$30,"*אפסנאות*",CR5:CR30,"בסיס")</f>
        <v/>
      </c>
      <c r="CS33" s="21">
        <f>COUNTIFS($B$5:$B$30,"*אפסנאות*",CS5:CS30,"בסיס")</f>
        <v/>
      </c>
      <c r="CT33" s="21">
        <f>COUNTIFS($B$5:$B$30,"*אפסנאות*",CT5:CT30,"בסיס")</f>
        <v/>
      </c>
      <c r="CU33" s="21">
        <f>COUNTIFS($B$5:$B$30,"*אפסנאות*",CU5:CU30,"בסיס")</f>
        <v/>
      </c>
      <c r="CV33" s="21">
        <f>COUNTIFS($B$5:$B$30,"*אפסנאות*",CV5:CV30,"בסיס")</f>
        <v/>
      </c>
      <c r="CW33" s="21">
        <f>COUNTIFS($B$5:$B$30,"*אפסנאות*",CW5:CW30,"בסיס")</f>
        <v/>
      </c>
      <c r="CX33" s="21">
        <f>COUNTIFS($B$5:$B$30,"*אפסנאות*",CX5:CX30,"בסיס")</f>
        <v/>
      </c>
    </row>
    <row r="34">
      <c r="A34" s="20" t="inlineStr">
        <is>
          <t>סה"כ בבית</t>
        </is>
      </c>
      <c r="D34" s="21">
        <f>COUNTIF(D5:D30,"בית")</f>
        <v/>
      </c>
      <c r="E34" s="21">
        <f>COUNTIF(E5:E30,"בית")</f>
        <v/>
      </c>
      <c r="F34" s="21">
        <f>COUNTIF(F5:F30,"בית")</f>
        <v/>
      </c>
      <c r="G34" s="21">
        <f>COUNTIF(G5:G30,"בית")</f>
        <v/>
      </c>
      <c r="H34" s="21">
        <f>COUNTIF(H5:H30,"בית")</f>
        <v/>
      </c>
      <c r="I34" s="21">
        <f>COUNTIF(I5:I30,"בית")</f>
        <v/>
      </c>
      <c r="J34" s="21">
        <f>COUNTIF(J5:J30,"בית")</f>
        <v/>
      </c>
      <c r="K34" s="21">
        <f>COUNTIF(K5:K30,"בית")</f>
        <v/>
      </c>
      <c r="L34" s="21">
        <f>COUNTIF(L5:L30,"בית")</f>
        <v/>
      </c>
      <c r="M34" s="21">
        <f>COUNTIF(M5:M30,"בית")</f>
        <v/>
      </c>
      <c r="N34" s="21">
        <f>COUNTIF(N5:N30,"בית")</f>
        <v/>
      </c>
      <c r="O34" s="21">
        <f>COUNTIF(O5:O30,"בית")</f>
        <v/>
      </c>
      <c r="P34" s="21">
        <f>COUNTIF(P5:P30,"בית")</f>
        <v/>
      </c>
      <c r="Q34" s="21">
        <f>COUNTIF(Q5:Q30,"בית")</f>
        <v/>
      </c>
      <c r="R34" s="21">
        <f>COUNTIF(R5:R30,"בית")</f>
        <v/>
      </c>
      <c r="S34" s="21">
        <f>COUNTIF(S5:S30,"בית")</f>
        <v/>
      </c>
      <c r="T34" s="21">
        <f>COUNTIF(T5:T30,"בית")</f>
        <v/>
      </c>
      <c r="U34" s="21">
        <f>COUNTIF(U5:U30,"בית")</f>
        <v/>
      </c>
      <c r="V34" s="21">
        <f>COUNTIF(V5:V30,"בית")</f>
        <v/>
      </c>
      <c r="W34" s="21">
        <f>COUNTIF(W5:W30,"בית")</f>
        <v/>
      </c>
      <c r="X34" s="21">
        <f>COUNTIF(X5:X30,"בית")</f>
        <v/>
      </c>
      <c r="Y34" s="21">
        <f>COUNTIF(Y5:Y30,"בית")</f>
        <v/>
      </c>
      <c r="Z34" s="21">
        <f>COUNTIF(Z5:Z30,"בית")</f>
        <v/>
      </c>
      <c r="AA34" s="21">
        <f>COUNTIF(AA5:AA30,"בית")</f>
        <v/>
      </c>
      <c r="AB34" s="21">
        <f>COUNTIF(AB5:AB30,"בית")</f>
        <v/>
      </c>
      <c r="AC34" s="21">
        <f>COUNTIF(AC5:AC30,"בית")</f>
        <v/>
      </c>
      <c r="AD34" s="21">
        <f>COUNTIF(AD5:AD30,"בית")</f>
        <v/>
      </c>
      <c r="AE34" s="21">
        <f>COUNTIF(AE5:AE30,"בית")</f>
        <v/>
      </c>
      <c r="AF34" s="21">
        <f>COUNTIF(AF5:AF30,"בית")</f>
        <v/>
      </c>
      <c r="AG34" s="21">
        <f>COUNTIF(AG5:AG30,"בית")</f>
        <v/>
      </c>
      <c r="AH34" s="21">
        <f>COUNTIF(AH5:AH30,"בית")</f>
        <v/>
      </c>
      <c r="AI34" s="21">
        <f>COUNTIF(AI5:AI30,"בית")</f>
        <v/>
      </c>
      <c r="AJ34" s="21">
        <f>COUNTIF(AJ5:AJ30,"בית")</f>
        <v/>
      </c>
      <c r="AK34" s="21">
        <f>COUNTIF(AK5:AK30,"בית")</f>
        <v/>
      </c>
      <c r="AL34" s="21">
        <f>COUNTIF(AL5:AL30,"בית")</f>
        <v/>
      </c>
      <c r="AM34" s="21">
        <f>COUNTIF(AM5:AM30,"בית")</f>
        <v/>
      </c>
      <c r="AN34" s="21">
        <f>COUNTIF(AN5:AN30,"בית")</f>
        <v/>
      </c>
      <c r="AO34" s="21">
        <f>COUNTIF(AO5:AO30,"בית")</f>
        <v/>
      </c>
      <c r="AP34" s="21">
        <f>COUNTIF(AP5:AP30,"בית")</f>
        <v/>
      </c>
      <c r="AQ34" s="21">
        <f>COUNTIF(AQ5:AQ30,"בית")</f>
        <v/>
      </c>
      <c r="AR34" s="21">
        <f>COUNTIF(AR5:AR30,"בית")</f>
        <v/>
      </c>
      <c r="AS34" s="21">
        <f>COUNTIF(AS5:AS30,"בית")</f>
        <v/>
      </c>
      <c r="AT34" s="21">
        <f>COUNTIF(AT5:AT30,"בית")</f>
        <v/>
      </c>
      <c r="AU34" s="21">
        <f>COUNTIF(AU5:AU30,"בית")</f>
        <v/>
      </c>
      <c r="AV34" s="21">
        <f>COUNTIF(AV5:AV30,"בית")</f>
        <v/>
      </c>
      <c r="AW34" s="21">
        <f>COUNTIF(AW5:AW30,"בית")</f>
        <v/>
      </c>
      <c r="AX34" s="21">
        <f>COUNTIF(AX5:AX30,"בית")</f>
        <v/>
      </c>
      <c r="AY34" s="21">
        <f>COUNTIF(AY5:AY30,"בית")</f>
        <v/>
      </c>
      <c r="AZ34" s="21">
        <f>COUNTIF(AZ5:AZ30,"בית")</f>
        <v/>
      </c>
      <c r="BA34" s="21">
        <f>COUNTIF(BA5:BA30,"בית")</f>
        <v/>
      </c>
      <c r="BB34" s="21">
        <f>COUNTIF(BB5:BB30,"בית")</f>
        <v/>
      </c>
      <c r="BC34" s="21">
        <f>COUNTIF(BC5:BC30,"בית")</f>
        <v/>
      </c>
      <c r="BD34" s="21">
        <f>COUNTIF(BD5:BD30,"בית")</f>
        <v/>
      </c>
      <c r="BE34" s="21">
        <f>COUNTIF(BE5:BE30,"בית")</f>
        <v/>
      </c>
      <c r="BF34" s="21">
        <f>COUNTIF(BF5:BF30,"בית")</f>
        <v/>
      </c>
      <c r="BG34" s="21">
        <f>COUNTIF(BG5:BG30,"בית")</f>
        <v/>
      </c>
      <c r="BH34" s="21">
        <f>COUNTIF(BH5:BH30,"בית")</f>
        <v/>
      </c>
      <c r="BI34" s="21">
        <f>COUNTIF(BI5:BI30,"בית")</f>
        <v/>
      </c>
      <c r="BJ34" s="21">
        <f>COUNTIF(BJ5:BJ30,"בית")</f>
        <v/>
      </c>
      <c r="BK34" s="21">
        <f>COUNTIF(BK5:BK30,"בית")</f>
        <v/>
      </c>
      <c r="BL34" s="21">
        <f>COUNTIF(BL5:BL30,"בית")</f>
        <v/>
      </c>
      <c r="BM34" s="21">
        <f>COUNTIF(BM5:BM30,"בית")</f>
        <v/>
      </c>
      <c r="BN34" s="21">
        <f>COUNTIF(BN5:BN30,"בית")</f>
        <v/>
      </c>
      <c r="BO34" s="21">
        <f>COUNTIF(BO5:BO30,"בית")</f>
        <v/>
      </c>
      <c r="BP34" s="21">
        <f>COUNTIF(BP5:BP30,"בית")</f>
        <v/>
      </c>
      <c r="BQ34" s="21">
        <f>COUNTIF(BQ5:BQ30,"בית")</f>
        <v/>
      </c>
      <c r="BR34" s="21">
        <f>COUNTIF(BR5:BR30,"בית")</f>
        <v/>
      </c>
      <c r="BS34" s="21">
        <f>COUNTIF(BS5:BS30,"בית")</f>
        <v/>
      </c>
      <c r="BT34" s="21">
        <f>COUNTIF(BT5:BT30,"בית")</f>
        <v/>
      </c>
      <c r="BU34" s="21">
        <f>COUNTIF(BU5:BU30,"בית")</f>
        <v/>
      </c>
      <c r="BV34" s="21">
        <f>COUNTIF(BV5:BV30,"בית")</f>
        <v/>
      </c>
      <c r="BW34" s="21">
        <f>COUNTIF(BW5:BW30,"בית")</f>
        <v/>
      </c>
      <c r="BX34" s="21">
        <f>COUNTIF(BX5:BX30,"בית")</f>
        <v/>
      </c>
      <c r="BY34" s="21">
        <f>COUNTIF(BY5:BY30,"בית")</f>
        <v/>
      </c>
      <c r="BZ34" s="21">
        <f>COUNTIF(BZ5:BZ30,"בית")</f>
        <v/>
      </c>
      <c r="CA34" s="21">
        <f>COUNTIF(CA5:CA30,"בית")</f>
        <v/>
      </c>
      <c r="CB34" s="21">
        <f>COUNTIF(CB5:CB30,"בית")</f>
        <v/>
      </c>
      <c r="CC34" s="21">
        <f>COUNTIF(CC5:CC30,"בית")</f>
        <v/>
      </c>
      <c r="CD34" s="21">
        <f>COUNTIF(CD5:CD30,"בית")</f>
        <v/>
      </c>
      <c r="CE34" s="21">
        <f>COUNTIF(CE5:CE30,"בית")</f>
        <v/>
      </c>
      <c r="CF34" s="21">
        <f>COUNTIF(CF5:CF30,"בית")</f>
        <v/>
      </c>
      <c r="CG34" s="21">
        <f>COUNTIF(CG5:CG30,"בית")</f>
        <v/>
      </c>
      <c r="CH34" s="21">
        <f>COUNTIF(CH5:CH30,"בית")</f>
        <v/>
      </c>
      <c r="CI34" s="21">
        <f>COUNTIF(CI5:CI30,"בית")</f>
        <v/>
      </c>
      <c r="CJ34" s="21">
        <f>COUNTIF(CJ5:CJ30,"בית")</f>
        <v/>
      </c>
      <c r="CK34" s="21">
        <f>COUNTIF(CK5:CK30,"בית")</f>
        <v/>
      </c>
      <c r="CL34" s="21">
        <f>COUNTIF(CL5:CL30,"בית")</f>
        <v/>
      </c>
      <c r="CM34" s="21">
        <f>COUNTIF(CM5:CM30,"בית")</f>
        <v/>
      </c>
      <c r="CN34" s="21">
        <f>COUNTIF(CN5:CN30,"בית")</f>
        <v/>
      </c>
      <c r="CO34" s="21">
        <f>COUNTIF(CO5:CO30,"בית")</f>
        <v/>
      </c>
      <c r="CP34" s="21">
        <f>COUNTIF(CP5:CP30,"בית")</f>
        <v/>
      </c>
      <c r="CQ34" s="21">
        <f>COUNTIF(CQ5:CQ30,"בית")</f>
        <v/>
      </c>
      <c r="CR34" s="21">
        <f>COUNTIF(CR5:CR30,"בית")</f>
        <v/>
      </c>
      <c r="CS34" s="21">
        <f>COUNTIF(CS5:CS30,"בית")</f>
        <v/>
      </c>
      <c r="CT34" s="21">
        <f>COUNTIF(CT5:CT30,"בית")</f>
        <v/>
      </c>
      <c r="CU34" s="21">
        <f>COUNTIF(CU5:CU30,"בית")</f>
        <v/>
      </c>
      <c r="CV34" s="21">
        <f>COUNTIF(CV5:CV30,"בית")</f>
        <v/>
      </c>
      <c r="CW34" s="21">
        <f>COUNTIF(CW5:CW30,"בית")</f>
        <v/>
      </c>
      <c r="CX34" s="21">
        <f>COUNTIF(CX5:CX30,"בית")</f>
        <v/>
      </c>
    </row>
    <row r="36" hidden="1">
      <c r="A36" t="inlineStr">
        <is>
          <t>[דגל שבת]</t>
        </is>
      </c>
      <c r="D36" t="n">
        <v>0</v>
      </c>
      <c r="E36" t="n">
        <v>0</v>
      </c>
      <c r="F36" t="n">
        <v>0</v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1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1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1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1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1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1</v>
      </c>
      <c r="BE36" t="n">
        <v>0</v>
      </c>
      <c r="BF36" t="n">
        <v>0</v>
      </c>
      <c r="BG36" t="n">
        <v>0</v>
      </c>
      <c r="BH36" t="n">
        <v>0</v>
      </c>
      <c r="BI36" t="n">
        <v>0</v>
      </c>
      <c r="BJ36" t="n">
        <v>0</v>
      </c>
      <c r="BK36" t="n">
        <v>1</v>
      </c>
      <c r="BL36" t="n">
        <v>0</v>
      </c>
      <c r="BM36" t="n">
        <v>0</v>
      </c>
      <c r="BN36" t="n">
        <v>0</v>
      </c>
      <c r="BO36" t="n">
        <v>0</v>
      </c>
      <c r="BP36" t="n">
        <v>0</v>
      </c>
      <c r="BQ36" t="n">
        <v>0</v>
      </c>
      <c r="BR36" t="n">
        <v>1</v>
      </c>
      <c r="BS36" t="n">
        <v>0</v>
      </c>
      <c r="BT36" t="n">
        <v>0</v>
      </c>
      <c r="BU36" t="n">
        <v>0</v>
      </c>
      <c r="BV36" t="n">
        <v>0</v>
      </c>
      <c r="BW36" t="n">
        <v>0</v>
      </c>
      <c r="BX36" t="n">
        <v>0</v>
      </c>
      <c r="BY36" t="n">
        <v>1</v>
      </c>
      <c r="BZ36" t="n">
        <v>0</v>
      </c>
      <c r="CA36" t="n">
        <v>0</v>
      </c>
      <c r="CB36" t="n">
        <v>0</v>
      </c>
      <c r="CC36" t="n">
        <v>0</v>
      </c>
      <c r="CD36" t="n">
        <v>0</v>
      </c>
      <c r="CE36" t="n">
        <v>0</v>
      </c>
      <c r="CF36" t="n">
        <v>1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1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1</v>
      </c>
      <c r="CU36" t="n">
        <v>0</v>
      </c>
      <c r="CV36" t="n">
        <v>0</v>
      </c>
      <c r="CW36" t="n">
        <v>0</v>
      </c>
      <c r="CX36" t="n">
        <v>0</v>
      </c>
    </row>
    <row r="37" hidden="1">
      <c r="A37" t="inlineStr">
        <is>
          <t>[דגל חג]</t>
        </is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J37" t="n">
        <v>0</v>
      </c>
      <c r="BK37" t="n">
        <v>0</v>
      </c>
      <c r="BL37" t="n">
        <v>0</v>
      </c>
      <c r="BM37" t="n">
        <v>0</v>
      </c>
      <c r="BN37" t="n">
        <v>0</v>
      </c>
      <c r="BO37" t="n">
        <v>0</v>
      </c>
      <c r="BP37" t="n">
        <v>0</v>
      </c>
      <c r="BQ37" t="n">
        <v>0</v>
      </c>
      <c r="BR37" t="n">
        <v>0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1</v>
      </c>
      <c r="CF37" t="n">
        <v>1</v>
      </c>
      <c r="CG37" t="n">
        <v>1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1</v>
      </c>
      <c r="CO37" t="n">
        <v>1</v>
      </c>
      <c r="CP37" t="n">
        <v>0</v>
      </c>
      <c r="CQ37" t="n">
        <v>0</v>
      </c>
      <c r="CR37" t="n">
        <v>0</v>
      </c>
      <c r="CS37" t="n">
        <v>1</v>
      </c>
      <c r="CT37" t="n">
        <v>1</v>
      </c>
      <c r="CU37" t="n">
        <v>0</v>
      </c>
      <c r="CV37" t="n">
        <v>0</v>
      </c>
      <c r="CW37" t="n">
        <v>0</v>
      </c>
      <c r="CX37" t="n">
        <v>0</v>
      </c>
    </row>
    <row r="38">
      <c r="A38" s="22" t="inlineStr">
        <is>
          <t>הגדרות מצבה (ניתן לעריכה):</t>
        </is>
      </c>
    </row>
    <row r="39">
      <c r="A39" s="23" t="inlineStr">
        <is>
          <t>מינימום בבסיס</t>
        </is>
      </c>
      <c r="B39" s="4" t="n">
        <v>12</v>
      </c>
    </row>
    <row r="40">
      <c r="A40" s="23" t="inlineStr">
        <is>
          <t>מינימום נשקייה</t>
        </is>
      </c>
      <c r="B40" s="4" t="n">
        <v>2</v>
      </c>
    </row>
    <row r="41">
      <c r="A41" s="23" t="inlineStr">
        <is>
          <t>מינימום אפסנאות</t>
        </is>
      </c>
      <c r="B41" s="4" t="n">
        <v>2</v>
      </c>
    </row>
  </sheetData>
  <mergeCells count="10">
    <mergeCell ref="BU2:CX2"/>
    <mergeCell ref="A33:C33"/>
    <mergeCell ref="A1:DB1"/>
    <mergeCell ref="A32:C32"/>
    <mergeCell ref="K2:AO2"/>
    <mergeCell ref="A31:C31"/>
    <mergeCell ref="AP2:BT2"/>
    <mergeCell ref="D2:J2"/>
    <mergeCell ref="A34:C34"/>
    <mergeCell ref="A4:C4"/>
  </mergeCells>
  <conditionalFormatting sqref="D31:CX31">
    <cfRule type="cellIs" priority="1" operator="lessThan" dxfId="0">
      <formula>$B$39</formula>
    </cfRule>
  </conditionalFormatting>
  <conditionalFormatting sqref="D32:CX32">
    <cfRule type="cellIs" priority="2" operator="lessThan" dxfId="0">
      <formula>$B$40</formula>
    </cfRule>
  </conditionalFormatting>
  <conditionalFormatting sqref="D33:CX33">
    <cfRule type="cellIs" priority="3" operator="lessThan" dxfId="0">
      <formula>$B$41</formula>
    </cfRule>
  </conditionalFormatting>
  <conditionalFormatting sqref="D5:CX30">
    <cfRule type="cellIs" priority="4" operator="equal" dxfId="1">
      <formula>"בסיס"</formula>
    </cfRule>
    <cfRule type="cellIs" priority="5" operator="equal" dxfId="2">
      <formula>"בית"</formula>
    </cfRule>
    <cfRule type="cellIs" priority="6" operator="equal" dxfId="3">
      <formula>"חופשה"</formula>
    </cfRule>
    <cfRule type="cellIs" priority="7" operator="equal" dxfId="4">
      <formula>"גימלים"</formula>
    </cfRule>
    <cfRule type="cellIs" priority="8" operator="equal" dxfId="5">
      <formula>"קורס"</formula>
    </cfRule>
    <cfRule type="cellIs" priority="9" operator="equal" dxfId="6">
      <formula>"ת״ש"</formula>
    </cfRule>
  </conditionalFormatting>
  <conditionalFormatting sqref="DA5:DA30">
    <cfRule type="colorScale" priority="10">
      <colorScale>
        <cfvo type="min"/>
        <cfvo type="percentile" val="50"/>
        <cfvo type="max"/>
        <color rgb="FFC6EFCE"/>
        <color rgb="FFFFEB9C"/>
        <color rgb="FFFFC7CE"/>
      </colorScale>
    </cfRule>
  </conditionalFormatting>
  <dataValidations count="1">
    <dataValidation sqref="D5:CX30" showDropDown="0" showInputMessage="0" showErrorMessage="0" allowBlank="1" type="list">
      <formula1>"בסיס,בית,חופשה,גימלים,קורס,ת״ש"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4" customWidth="1" min="2" max="2"/>
  </cols>
  <sheetData>
    <row r="1">
      <c r="B1" s="24" t="inlineStr">
        <is>
          <t>מקרא - שבצק יציאות</t>
        </is>
      </c>
    </row>
    <row r="3">
      <c r="B3" s="22" t="inlineStr">
        <is>
          <t>כותרת תאריך:</t>
        </is>
      </c>
    </row>
    <row r="4">
      <c r="A4" s="25" t="n"/>
      <c r="B4" s="26" t="inlineStr">
        <is>
          <t>שבת / ערב שבת</t>
        </is>
      </c>
    </row>
    <row r="5">
      <c r="A5" s="27" t="n"/>
      <c r="B5" s="26" t="inlineStr">
        <is>
          <t>חג</t>
        </is>
      </c>
    </row>
    <row r="6">
      <c r="B6" s="22" t="inlineStr">
        <is>
          <t>סטטוס תא:</t>
        </is>
      </c>
    </row>
    <row r="7">
      <c r="A7" s="28" t="n"/>
      <c r="B7" s="26" t="inlineStr">
        <is>
          <t>בסיס</t>
        </is>
      </c>
    </row>
    <row r="8">
      <c r="A8" s="29" t="n"/>
      <c r="B8" s="26" t="inlineStr">
        <is>
          <t>בית</t>
        </is>
      </c>
    </row>
    <row r="9">
      <c r="A9" s="30" t="n"/>
      <c r="B9" s="26" t="inlineStr">
        <is>
          <t>חופשה</t>
        </is>
      </c>
    </row>
    <row r="10">
      <c r="A10" s="31" t="n"/>
      <c r="B10" s="26" t="inlineStr">
        <is>
          <t>גימלים</t>
        </is>
      </c>
    </row>
    <row r="11">
      <c r="A11" s="32" t="n"/>
      <c r="B11" s="26" t="inlineStr">
        <is>
          <t>קורס</t>
        </is>
      </c>
    </row>
    <row r="12">
      <c r="A12" s="33" t="n"/>
      <c r="B12" s="26" t="inlineStr">
        <is>
          <t>ת״ש</t>
        </is>
      </c>
    </row>
    <row r="13">
      <c r="B13" s="22" t="inlineStr">
        <is>
          <t>התראות:</t>
        </is>
      </c>
    </row>
    <row r="14">
      <c r="A14" s="34" t="n"/>
      <c r="B14" s="26" t="inlineStr">
        <is>
          <t>מתחת לסף מצבה (אדום אוטומטי)</t>
        </is>
      </c>
    </row>
    <row r="16">
      <c r="B16" s="26" t="inlineStr">
        <is>
          <t>ספי המצבה נקבעים בגיליון השבצק בבלוק "הגדרות מצבה".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4" customWidth="1" min="4" max="4"/>
    <col width="26" customWidth="1" min="5" max="5"/>
    <col width="32" customWidth="1" min="6" max="6"/>
  </cols>
  <sheetData>
    <row r="1">
      <c r="A1" s="1" t="inlineStr">
        <is>
          <t>שיחות אישיות עם חיילים</t>
        </is>
      </c>
    </row>
    <row r="2">
      <c r="A2" s="2" t="inlineStr">
        <is>
          <t>שם</t>
        </is>
      </c>
      <c r="B2" s="2" t="inlineStr">
        <is>
          <t>תפקיד</t>
        </is>
      </c>
      <c r="C2" s="2" t="inlineStr">
        <is>
          <t>שוחחת?</t>
        </is>
      </c>
      <c r="D2" s="2" t="inlineStr">
        <is>
          <t>תאריך שיחה</t>
        </is>
      </c>
      <c r="E2" s="2" t="inlineStr">
        <is>
          <t>נושא</t>
        </is>
      </c>
      <c r="F2" s="2" t="inlineStr">
        <is>
          <t>הערות</t>
        </is>
      </c>
    </row>
    <row r="3">
      <c r="A3" s="11" t="inlineStr">
        <is>
          <t>איתי עוזיאל</t>
        </is>
      </c>
      <c r="B3" s="12" t="inlineStr">
        <is>
          <t>קלג</t>
        </is>
      </c>
      <c r="C3" s="19" t="n"/>
      <c r="D3" s="19" t="n"/>
      <c r="E3" s="19" t="n"/>
      <c r="F3" s="19" t="n"/>
    </row>
    <row r="4">
      <c r="A4" s="11" t="inlineStr">
        <is>
          <t>אורי עוזיאל</t>
        </is>
      </c>
      <c r="B4" s="12" t="inlineStr">
        <is>
          <t>סמל נשקייה</t>
        </is>
      </c>
      <c r="C4" s="19" t="n"/>
      <c r="D4" s="19" t="n"/>
      <c r="E4" s="19" t="n"/>
      <c r="F4" s="19" t="n"/>
    </row>
    <row r="5">
      <c r="A5" s="11" t="inlineStr">
        <is>
          <t>ינון איזון</t>
        </is>
      </c>
      <c r="B5" s="12" t="inlineStr">
        <is>
          <t>נשקייה</t>
        </is>
      </c>
      <c r="C5" s="19" t="n"/>
      <c r="D5" s="19" t="n"/>
      <c r="E5" s="19" t="n"/>
      <c r="F5" s="19" t="n"/>
    </row>
    <row r="6">
      <c r="A6" s="11" t="inlineStr">
        <is>
          <t>שי ארנלדס</t>
        </is>
      </c>
      <c r="B6" s="12" t="inlineStr">
        <is>
          <t>נשקייה</t>
        </is>
      </c>
      <c r="C6" s="19" t="n"/>
      <c r="D6" s="19" t="n"/>
      <c r="E6" s="19" t="n"/>
      <c r="F6" s="19" t="n"/>
    </row>
    <row r="7">
      <c r="A7" s="11" t="inlineStr">
        <is>
          <t>איתי שמש</t>
        </is>
      </c>
      <c r="B7" s="12" t="inlineStr">
        <is>
          <t>נשקייה</t>
        </is>
      </c>
      <c r="C7" s="19" t="n"/>
      <c r="D7" s="19" t="n"/>
      <c r="E7" s="19" t="n"/>
      <c r="F7" s="19" t="n"/>
    </row>
    <row r="8">
      <c r="A8" s="11" t="inlineStr">
        <is>
          <t>אביעד כהן</t>
        </is>
      </c>
      <c r="B8" s="12" t="inlineStr">
        <is>
          <t>נשקייה</t>
        </is>
      </c>
      <c r="C8" s="19" t="n"/>
      <c r="D8" s="19" t="n"/>
      <c r="E8" s="19" t="n"/>
      <c r="F8" s="19" t="n"/>
    </row>
    <row r="9">
      <c r="A9" s="11" t="inlineStr">
        <is>
          <t>אזוגי נתנאל</t>
        </is>
      </c>
      <c r="B9" s="12" t="inlineStr">
        <is>
          <t>אפסנאות</t>
        </is>
      </c>
      <c r="C9" s="19" t="n"/>
      <c r="D9" s="19" t="n"/>
      <c r="E9" s="19" t="n"/>
      <c r="F9" s="19" t="n"/>
    </row>
    <row r="10">
      <c r="A10" s="11" t="inlineStr">
        <is>
          <t>ניב סורוקר</t>
        </is>
      </c>
      <c r="B10" s="12" t="inlineStr">
        <is>
          <t>אפסנאות</t>
        </is>
      </c>
      <c r="C10" s="19" t="n"/>
      <c r="D10" s="19" t="n"/>
      <c r="E10" s="19" t="n"/>
      <c r="F10" s="19" t="n"/>
    </row>
    <row r="11">
      <c r="A11" s="11" t="inlineStr">
        <is>
          <t>צבי לונדין</t>
        </is>
      </c>
      <c r="B11" s="12" t="inlineStr">
        <is>
          <t>אפסנאות</t>
        </is>
      </c>
      <c r="C11" s="19" t="n"/>
      <c r="D11" s="19" t="n"/>
      <c r="E11" s="19" t="n"/>
      <c r="F11" s="19" t="n"/>
    </row>
    <row r="12">
      <c r="A12" s="11" t="inlineStr">
        <is>
          <t>יוסף חגואל</t>
        </is>
      </c>
      <c r="B12" s="12" t="inlineStr">
        <is>
          <t>נשקייה</t>
        </is>
      </c>
      <c r="C12" s="19" t="n"/>
      <c r="D12" s="19" t="n"/>
      <c r="E12" s="19" t="n"/>
      <c r="F12" s="19" t="n"/>
    </row>
    <row r="13">
      <c r="A13" s="11" t="inlineStr">
        <is>
          <t>אדם ממן</t>
        </is>
      </c>
      <c r="B13" s="12" t="inlineStr">
        <is>
          <t>סמל אפסנאות</t>
        </is>
      </c>
      <c r="C13" s="19" t="n"/>
      <c r="D13" s="19" t="n"/>
      <c r="E13" s="19" t="n"/>
      <c r="F13" s="19" t="n"/>
    </row>
    <row r="14">
      <c r="A14" s="11" t="inlineStr">
        <is>
          <t>גבריאל יעקוביאן</t>
        </is>
      </c>
      <c r="B14" s="12" t="inlineStr">
        <is>
          <t>נשקייה</t>
        </is>
      </c>
      <c r="C14" s="19" t="n"/>
      <c r="D14" s="19" t="n"/>
      <c r="E14" s="19" t="n"/>
      <c r="F14" s="19" t="n"/>
    </row>
    <row r="15">
      <c r="A15" s="11" t="inlineStr">
        <is>
          <t>יקיר אלימלך</t>
        </is>
      </c>
      <c r="B15" s="12" t="inlineStr">
        <is>
          <t>אפסנאות</t>
        </is>
      </c>
      <c r="C15" s="19" t="n"/>
      <c r="D15" s="19" t="n"/>
      <c r="E15" s="19" t="n"/>
      <c r="F15" s="19" t="n"/>
    </row>
    <row r="16">
      <c r="A16" s="11" t="inlineStr">
        <is>
          <t>יוסי כהן</t>
        </is>
      </c>
      <c r="B16" s="12" t="inlineStr">
        <is>
          <t>נשקייה-רחפנים</t>
        </is>
      </c>
      <c r="C16" s="19" t="n"/>
      <c r="D16" s="19" t="n"/>
      <c r="E16" s="19" t="n"/>
      <c r="F16" s="19" t="n"/>
    </row>
    <row r="17">
      <c r="A17" s="11" t="inlineStr">
        <is>
          <t>רון בן שושן</t>
        </is>
      </c>
      <c r="B17" s="12" t="inlineStr"/>
      <c r="C17" s="19" t="n"/>
      <c r="D17" s="19" t="n"/>
      <c r="E17" s="19" t="n"/>
      <c r="F17" s="19" t="n"/>
    </row>
    <row r="18">
      <c r="A18" s="11" t="inlineStr">
        <is>
          <t>דוד שמחי</t>
        </is>
      </c>
      <c r="B18" s="12" t="inlineStr"/>
      <c r="C18" s="19" t="n"/>
      <c r="D18" s="19" t="n"/>
      <c r="E18" s="19" t="n"/>
      <c r="F18" s="19" t="n"/>
    </row>
    <row r="19">
      <c r="A19" s="11" t="inlineStr">
        <is>
          <t>לב גינזבורג</t>
        </is>
      </c>
      <c r="B19" s="12" t="inlineStr">
        <is>
          <t>נשקייה</t>
        </is>
      </c>
      <c r="C19" s="19" t="n"/>
      <c r="D19" s="19" t="n"/>
      <c r="E19" s="19" t="n"/>
      <c r="F19" s="19" t="n"/>
    </row>
    <row r="20">
      <c r="A20" s="11" t="inlineStr">
        <is>
          <t>יעקב גרמאי</t>
        </is>
      </c>
      <c r="B20" s="12" t="inlineStr">
        <is>
          <t>אפסנאות</t>
        </is>
      </c>
      <c r="C20" s="19" t="n"/>
      <c r="D20" s="19" t="n"/>
      <c r="E20" s="19" t="n"/>
      <c r="F20" s="19" t="n"/>
    </row>
    <row r="21">
      <c r="A21" s="11" t="inlineStr">
        <is>
          <t>עידן אשטון</t>
        </is>
      </c>
      <c r="B21" s="12" t="inlineStr">
        <is>
          <t>אפסנאות</t>
        </is>
      </c>
      <c r="C21" s="19" t="n"/>
      <c r="D21" s="19" t="n"/>
      <c r="E21" s="19" t="n"/>
      <c r="F21" s="19" t="n"/>
    </row>
    <row r="22">
      <c r="A22" s="11" t="inlineStr">
        <is>
          <t>עומר נוימן</t>
        </is>
      </c>
      <c r="B22" s="12" t="inlineStr"/>
      <c r="C22" s="19" t="n"/>
      <c r="D22" s="19" t="n"/>
      <c r="E22" s="19" t="n"/>
      <c r="F22" s="19" t="n"/>
    </row>
    <row r="23">
      <c r="A23" s="11" t="inlineStr">
        <is>
          <t>דוד עבאדה</t>
        </is>
      </c>
      <c r="B23" s="12" t="inlineStr">
        <is>
          <t>אפסנאות</t>
        </is>
      </c>
      <c r="C23" s="19" t="n"/>
      <c r="D23" s="19" t="n"/>
      <c r="E23" s="19" t="n"/>
      <c r="F23" s="19" t="n"/>
    </row>
    <row r="24">
      <c r="A24" s="11" t="inlineStr">
        <is>
          <t>אוראל קקון</t>
        </is>
      </c>
      <c r="B24" s="12" t="inlineStr"/>
      <c r="C24" s="19" t="n"/>
      <c r="D24" s="19" t="n"/>
      <c r="E24" s="19" t="n"/>
      <c r="F24" s="19" t="n"/>
    </row>
    <row r="25">
      <c r="A25" s="11" t="inlineStr">
        <is>
          <t>אלחנן טירי</t>
        </is>
      </c>
      <c r="B25" s="12" t="inlineStr"/>
      <c r="C25" s="19" t="n"/>
      <c r="D25" s="19" t="n"/>
      <c r="E25" s="19" t="n"/>
      <c r="F25" s="19" t="n"/>
    </row>
    <row r="26">
      <c r="A26" s="11" t="inlineStr">
        <is>
          <t>ארמיאס בלאציאו</t>
        </is>
      </c>
      <c r="B26" s="12" t="inlineStr"/>
      <c r="C26" s="19" t="n"/>
      <c r="D26" s="19" t="n"/>
      <c r="E26" s="19" t="n"/>
      <c r="F26" s="19" t="n"/>
    </row>
    <row r="27">
      <c r="A27" s="11" t="inlineStr">
        <is>
          <t>משה אברהם</t>
        </is>
      </c>
      <c r="B27" s="12" t="inlineStr"/>
      <c r="C27" s="19" t="n"/>
      <c r="D27" s="19" t="n"/>
      <c r="E27" s="19" t="n"/>
      <c r="F27" s="19" t="n"/>
    </row>
    <row r="28">
      <c r="A28" s="11" t="inlineStr">
        <is>
          <t>רון אוסטפוב</t>
        </is>
      </c>
      <c r="B28" s="12" t="inlineStr"/>
      <c r="C28" s="19" t="n"/>
      <c r="D28" s="19" t="n"/>
      <c r="E28" s="19" t="n"/>
      <c r="F28" s="19" t="n"/>
    </row>
    <row r="30">
      <c r="A30" s="22" t="inlineStr">
        <is>
          <t>סה"כ שוחחו:</t>
        </is>
      </c>
      <c r="B30" s="35">
        <f>COUNTIF(C3:C28,"כן")</f>
        <v/>
      </c>
    </row>
    <row r="31">
      <c r="A31" s="22" t="inlineStr">
        <is>
          <t>נותרו לשיחה:</t>
        </is>
      </c>
      <c r="B31" s="35">
        <f>COUNTIF(C3:C28,"לא")</f>
        <v/>
      </c>
    </row>
  </sheetData>
  <mergeCells count="1">
    <mergeCell ref="A1:F1"/>
  </mergeCells>
  <conditionalFormatting sqref="C3:C28">
    <cfRule type="cellIs" priority="1" operator="equal" dxfId="7">
      <formula>"כן"</formula>
    </cfRule>
    <cfRule type="cellIs" priority="2" operator="equal" dxfId="8">
      <formula>"לא"</formula>
    </cfRule>
  </conditionalFormatting>
  <dataValidations count="1">
    <dataValidation sqref="C3:C28" showDropDown="0" showInputMessage="0" showErrorMessage="0" allowBlank="1" type="list">
      <formula1>"כן,לא"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2026-05-29T07:25:58Z</dcterms:created>
  <dcterms:modified xsi:type="dcterms:W3CDTF">2026-05-29T07:25:59Z</dcterms:modified>
</cp:coreProperties>
</file>