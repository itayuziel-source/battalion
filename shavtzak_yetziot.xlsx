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בצק יציאות" sheetId="1" state="visible" r:id="rId1"/>
    <sheet name="מקרא" sheetId="2" state="visible" r:id="rId2"/>
    <sheet name="שיחות עם חייל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1"/>
    </font>
    <font>
      <b val="1"/>
      <sz val="13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B4A7D6"/>
      </patternFill>
    </fill>
    <fill>
      <patternFill patternType="solid">
        <fgColor rgb="00F8CBAD"/>
      </patternFill>
    </fill>
    <fill>
      <patternFill patternType="solid">
        <fgColor rgb="00FF505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FF5050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4A7D6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0"/>
  <sheetViews>
    <sheetView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9" customWidth="1" min="103" max="103"/>
    <col width="9" customWidth="1" min="104" max="104"/>
    <col width="9" customWidth="1" min="105" max="105"/>
    <col width="9" customWidth="1" min="106" max="106"/>
  </cols>
  <sheetData>
    <row r="1">
      <c r="A1" s="1" t="inlineStr">
        <is>
          <t>שבצק יציאות - קו הגנה סוריה</t>
        </is>
      </c>
    </row>
    <row r="2">
      <c r="D2" s="2" t="inlineStr">
        <is>
          <t>יוני 2026</t>
        </is>
      </c>
      <c r="K2" s="2" t="inlineStr">
        <is>
          <t>יולי 2026</t>
        </is>
      </c>
      <c r="AP2" s="2" t="inlineStr">
        <is>
          <t>אוגוסט 2026</t>
        </is>
      </c>
      <c r="BU2" s="2" t="inlineStr">
        <is>
          <t>ספטמבר 2026</t>
        </is>
      </c>
    </row>
    <row r="3" ht="30" customHeight="1">
      <c r="A3" s="2" t="inlineStr">
        <is>
          <t>שם</t>
        </is>
      </c>
      <c r="B3" s="2" t="inlineStr">
        <is>
          <t>תפקיד</t>
        </is>
      </c>
      <c r="C3" s="2" t="inlineStr">
        <is>
          <t>הערות</t>
        </is>
      </c>
      <c r="D3" s="3" t="inlineStr">
        <is>
          <t>24
ד</t>
        </is>
      </c>
      <c r="E3" s="3" t="inlineStr">
        <is>
          <t>25
ה</t>
        </is>
      </c>
      <c r="F3" s="4" t="inlineStr">
        <is>
          <t>26
ו</t>
        </is>
      </c>
      <c r="G3" s="4" t="inlineStr">
        <is>
          <t>27
ש</t>
        </is>
      </c>
      <c r="H3" s="3" t="inlineStr">
        <is>
          <t>28
א</t>
        </is>
      </c>
      <c r="I3" s="3" t="inlineStr">
        <is>
          <t>29
ב</t>
        </is>
      </c>
      <c r="J3" s="3" t="inlineStr">
        <is>
          <t>30
ג</t>
        </is>
      </c>
      <c r="K3" s="3" t="inlineStr">
        <is>
          <t>1
ד</t>
        </is>
      </c>
      <c r="L3" s="3" t="inlineStr">
        <is>
          <t>2
ה</t>
        </is>
      </c>
      <c r="M3" s="4" t="inlineStr">
        <is>
          <t>3
ו</t>
        </is>
      </c>
      <c r="N3" s="4" t="inlineStr">
        <is>
          <t>4
ש</t>
        </is>
      </c>
      <c r="O3" s="3" t="inlineStr">
        <is>
          <t>5
א</t>
        </is>
      </c>
      <c r="P3" s="3" t="inlineStr">
        <is>
          <t>6
ב</t>
        </is>
      </c>
      <c r="Q3" s="3" t="inlineStr">
        <is>
          <t>7
ג</t>
        </is>
      </c>
      <c r="R3" s="3" t="inlineStr">
        <is>
          <t>8
ד</t>
        </is>
      </c>
      <c r="S3" s="3" t="inlineStr">
        <is>
          <t>9
ה</t>
        </is>
      </c>
      <c r="T3" s="4" t="inlineStr">
        <is>
          <t>10
ו</t>
        </is>
      </c>
      <c r="U3" s="4" t="inlineStr">
        <is>
          <t>11
ש</t>
        </is>
      </c>
      <c r="V3" s="3" t="inlineStr">
        <is>
          <t>12
א</t>
        </is>
      </c>
      <c r="W3" s="3" t="inlineStr">
        <is>
          <t>13
ב</t>
        </is>
      </c>
      <c r="X3" s="3" t="inlineStr">
        <is>
          <t>14
ג</t>
        </is>
      </c>
      <c r="Y3" s="3" t="inlineStr">
        <is>
          <t>15
ד</t>
        </is>
      </c>
      <c r="Z3" s="3" t="inlineStr">
        <is>
          <t>16
ה</t>
        </is>
      </c>
      <c r="AA3" s="4" t="inlineStr">
        <is>
          <t>17
ו</t>
        </is>
      </c>
      <c r="AB3" s="4" t="inlineStr">
        <is>
          <t>18
ש</t>
        </is>
      </c>
      <c r="AC3" s="3" t="inlineStr">
        <is>
          <t>19
א</t>
        </is>
      </c>
      <c r="AD3" s="3" t="inlineStr">
        <is>
          <t>20
ב</t>
        </is>
      </c>
      <c r="AE3" s="3" t="inlineStr">
        <is>
          <t>21
ג</t>
        </is>
      </c>
      <c r="AF3" s="3" t="inlineStr">
        <is>
          <t>22
ד</t>
        </is>
      </c>
      <c r="AG3" s="3" t="inlineStr">
        <is>
          <t>23
ה</t>
        </is>
      </c>
      <c r="AH3" s="4" t="inlineStr">
        <is>
          <t>24
ו</t>
        </is>
      </c>
      <c r="AI3" s="4" t="inlineStr">
        <is>
          <t>25
ש</t>
        </is>
      </c>
      <c r="AJ3" s="3" t="inlineStr">
        <is>
          <t>26
א</t>
        </is>
      </c>
      <c r="AK3" s="3" t="inlineStr">
        <is>
          <t>27
ב</t>
        </is>
      </c>
      <c r="AL3" s="3" t="inlineStr">
        <is>
          <t>28
ג</t>
        </is>
      </c>
      <c r="AM3" s="3" t="inlineStr">
        <is>
          <t>29
ד</t>
        </is>
      </c>
      <c r="AN3" s="3" t="inlineStr">
        <is>
          <t>30
ה</t>
        </is>
      </c>
      <c r="AO3" s="4" t="inlineStr">
        <is>
          <t>31
ו</t>
        </is>
      </c>
      <c r="AP3" s="4" t="inlineStr">
        <is>
          <t>1
ש</t>
        </is>
      </c>
      <c r="AQ3" s="3" t="inlineStr">
        <is>
          <t>2
א</t>
        </is>
      </c>
      <c r="AR3" s="3" t="inlineStr">
        <is>
          <t>3
ב</t>
        </is>
      </c>
      <c r="AS3" s="3" t="inlineStr">
        <is>
          <t>4
ג</t>
        </is>
      </c>
      <c r="AT3" s="3" t="inlineStr">
        <is>
          <t>5
ד</t>
        </is>
      </c>
      <c r="AU3" s="3" t="inlineStr">
        <is>
          <t>6
ה</t>
        </is>
      </c>
      <c r="AV3" s="4" t="inlineStr">
        <is>
          <t>7
ו</t>
        </is>
      </c>
      <c r="AW3" s="4" t="inlineStr">
        <is>
          <t>8
ש</t>
        </is>
      </c>
      <c r="AX3" s="3" t="inlineStr">
        <is>
          <t>9
א</t>
        </is>
      </c>
      <c r="AY3" s="3" t="inlineStr">
        <is>
          <t>10
ב</t>
        </is>
      </c>
      <c r="AZ3" s="3" t="inlineStr">
        <is>
          <t>11
ג</t>
        </is>
      </c>
      <c r="BA3" s="3" t="inlineStr">
        <is>
          <t>12
ד</t>
        </is>
      </c>
      <c r="BB3" s="3" t="inlineStr">
        <is>
          <t>13
ה</t>
        </is>
      </c>
      <c r="BC3" s="4" t="inlineStr">
        <is>
          <t>14
ו</t>
        </is>
      </c>
      <c r="BD3" s="4" t="inlineStr">
        <is>
          <t>15
ש</t>
        </is>
      </c>
      <c r="BE3" s="3" t="inlineStr">
        <is>
          <t>16
א</t>
        </is>
      </c>
      <c r="BF3" s="3" t="inlineStr">
        <is>
          <t>17
ב</t>
        </is>
      </c>
      <c r="BG3" s="3" t="inlineStr">
        <is>
          <t>18
ג</t>
        </is>
      </c>
      <c r="BH3" s="3" t="inlineStr">
        <is>
          <t>19
ד</t>
        </is>
      </c>
      <c r="BI3" s="3" t="inlineStr">
        <is>
          <t>20
ה</t>
        </is>
      </c>
      <c r="BJ3" s="4" t="inlineStr">
        <is>
          <t>21
ו</t>
        </is>
      </c>
      <c r="BK3" s="4" t="inlineStr">
        <is>
          <t>22
ש</t>
        </is>
      </c>
      <c r="BL3" s="3" t="inlineStr">
        <is>
          <t>23
א</t>
        </is>
      </c>
      <c r="BM3" s="3" t="inlineStr">
        <is>
          <t>24
ב</t>
        </is>
      </c>
      <c r="BN3" s="3" t="inlineStr">
        <is>
          <t>25
ג</t>
        </is>
      </c>
      <c r="BO3" s="3" t="inlineStr">
        <is>
          <t>26
ד</t>
        </is>
      </c>
      <c r="BP3" s="3" t="inlineStr">
        <is>
          <t>27
ה</t>
        </is>
      </c>
      <c r="BQ3" s="4" t="inlineStr">
        <is>
          <t>28
ו</t>
        </is>
      </c>
      <c r="BR3" s="4" t="inlineStr">
        <is>
          <t>29
ש</t>
        </is>
      </c>
      <c r="BS3" s="3" t="inlineStr">
        <is>
          <t>30
א</t>
        </is>
      </c>
      <c r="BT3" s="3" t="inlineStr">
        <is>
          <t>31
ב</t>
        </is>
      </c>
      <c r="BU3" s="3" t="inlineStr">
        <is>
          <t>1
ג</t>
        </is>
      </c>
      <c r="BV3" s="3" t="inlineStr">
        <is>
          <t>2
ד</t>
        </is>
      </c>
      <c r="BW3" s="3" t="inlineStr">
        <is>
          <t>3
ה</t>
        </is>
      </c>
      <c r="BX3" s="4" t="inlineStr">
        <is>
          <t>4
ו</t>
        </is>
      </c>
      <c r="BY3" s="4" t="inlineStr">
        <is>
          <t>5
ש</t>
        </is>
      </c>
      <c r="BZ3" s="3" t="inlineStr">
        <is>
          <t>6
א</t>
        </is>
      </c>
      <c r="CA3" s="3" t="inlineStr">
        <is>
          <t>7
ב</t>
        </is>
      </c>
      <c r="CB3" s="3" t="inlineStr">
        <is>
          <t>8
ג</t>
        </is>
      </c>
      <c r="CC3" s="3" t="inlineStr">
        <is>
          <t>9
ד</t>
        </is>
      </c>
      <c r="CD3" s="3" t="inlineStr">
        <is>
          <t>10
ה</t>
        </is>
      </c>
      <c r="CE3" s="5" t="inlineStr">
        <is>
          <t>11
ו</t>
        </is>
      </c>
      <c r="CF3" s="5" t="inlineStr">
        <is>
          <t>12
ש</t>
        </is>
      </c>
      <c r="CG3" s="5" t="inlineStr">
        <is>
          <t>13
א</t>
        </is>
      </c>
      <c r="CH3" s="3" t="inlineStr">
        <is>
          <t>14
ב</t>
        </is>
      </c>
      <c r="CI3" s="3" t="inlineStr">
        <is>
          <t>15
ג</t>
        </is>
      </c>
      <c r="CJ3" s="3" t="inlineStr">
        <is>
          <t>16
ד</t>
        </is>
      </c>
      <c r="CK3" s="3" t="inlineStr">
        <is>
          <t>17
ה</t>
        </is>
      </c>
      <c r="CL3" s="4" t="inlineStr">
        <is>
          <t>18
ו</t>
        </is>
      </c>
      <c r="CM3" s="4" t="inlineStr">
        <is>
          <t>19
ש</t>
        </is>
      </c>
      <c r="CN3" s="5" t="inlineStr">
        <is>
          <t>20
א</t>
        </is>
      </c>
      <c r="CO3" s="5" t="inlineStr">
        <is>
          <t>21
ב</t>
        </is>
      </c>
      <c r="CP3" s="3" t="inlineStr">
        <is>
          <t>22
ג</t>
        </is>
      </c>
      <c r="CQ3" s="3" t="inlineStr">
        <is>
          <t>23
ד</t>
        </is>
      </c>
      <c r="CR3" s="3" t="inlineStr">
        <is>
          <t>24
ה</t>
        </is>
      </c>
      <c r="CS3" s="5" t="inlineStr">
        <is>
          <t>25
ו</t>
        </is>
      </c>
      <c r="CT3" s="5" t="inlineStr">
        <is>
          <t>26
ש</t>
        </is>
      </c>
      <c r="CU3" s="3" t="inlineStr">
        <is>
          <t>27
א</t>
        </is>
      </c>
      <c r="CV3" s="3" t="inlineStr">
        <is>
          <t>28
ב</t>
        </is>
      </c>
      <c r="CW3" s="3" t="inlineStr">
        <is>
          <t>29
ג</t>
        </is>
      </c>
      <c r="CX3" s="3" t="inlineStr">
        <is>
          <t>30
ד</t>
        </is>
      </c>
      <c r="CY3" s="2" t="inlineStr">
        <is>
          <t>ימי בסיס</t>
        </is>
      </c>
      <c r="CZ3" s="2" t="inlineStr">
        <is>
          <t>ימי בית</t>
        </is>
      </c>
      <c r="DA3" s="2" t="inlineStr">
        <is>
          <t>סופ"ש בבית</t>
        </is>
      </c>
      <c r="DB3" s="2" t="inlineStr">
        <is>
          <t>חגים בבית</t>
        </is>
      </c>
    </row>
    <row r="4">
      <c r="A4" s="6" t="inlineStr">
        <is>
          <t>איתי עוזיאל</t>
        </is>
      </c>
      <c r="B4" s="7" t="inlineStr">
        <is>
          <t>קלג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9">
        <f>COUNTIF(D4:CX4,"בסיס")</f>
        <v/>
      </c>
      <c r="CZ4" s="9">
        <f>COUNTIF(D4:CX4,"בית")</f>
        <v/>
      </c>
      <c r="DA4" s="9">
        <f>SUMPRODUCT($D$35:$CX$35,--(D4:CX4="בית"))</f>
        <v/>
      </c>
      <c r="DB4" s="9">
        <f>SUMPRODUCT($D$36:$CX$36,--(D4:CX4="בית"))</f>
        <v/>
      </c>
    </row>
    <row r="5">
      <c r="A5" s="6" t="inlineStr">
        <is>
          <t>אורי עוזיאל</t>
        </is>
      </c>
      <c r="B5" s="7" t="inlineStr">
        <is>
          <t>סמל נשקייה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9">
        <f>COUNTIF(D5:CX5,"בסיס")</f>
        <v/>
      </c>
      <c r="CZ5" s="9">
        <f>COUNTIF(D5:CX5,"בית")</f>
        <v/>
      </c>
      <c r="DA5" s="9">
        <f>SUMPRODUCT($D$35:$CX$35,--(D5:CX5="בית"))</f>
        <v/>
      </c>
      <c r="DB5" s="9">
        <f>SUMPRODUCT($D$36:$CX$36,--(D5:CX5="בית"))</f>
        <v/>
      </c>
    </row>
    <row r="6">
      <c r="A6" s="6" t="inlineStr">
        <is>
          <t>ינון איזון</t>
        </is>
      </c>
      <c r="B6" s="7" t="inlineStr">
        <is>
          <t>נשקייה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9">
        <f>COUNTIF(D6:CX6,"בסיס")</f>
        <v/>
      </c>
      <c r="CZ6" s="9">
        <f>COUNTIF(D6:CX6,"בית")</f>
        <v/>
      </c>
      <c r="DA6" s="9">
        <f>SUMPRODUCT($D$35:$CX$35,--(D6:CX6="בית"))</f>
        <v/>
      </c>
      <c r="DB6" s="9">
        <f>SUMPRODUCT($D$36:$CX$36,--(D6:CX6="בית"))</f>
        <v/>
      </c>
    </row>
    <row r="7">
      <c r="A7" s="6" t="inlineStr">
        <is>
          <t>שי ארנלדס</t>
        </is>
      </c>
      <c r="B7" s="7" t="inlineStr">
        <is>
          <t>נשקייה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9">
        <f>COUNTIF(D7:CX7,"בסיס")</f>
        <v/>
      </c>
      <c r="CZ7" s="9">
        <f>COUNTIF(D7:CX7,"בית")</f>
        <v/>
      </c>
      <c r="DA7" s="9">
        <f>SUMPRODUCT($D$35:$CX$35,--(D7:CX7="בית"))</f>
        <v/>
      </c>
      <c r="DB7" s="9">
        <f>SUMPRODUCT($D$36:$CX$36,--(D7:CX7="בית"))</f>
        <v/>
      </c>
    </row>
    <row r="8">
      <c r="A8" s="6" t="inlineStr">
        <is>
          <t>איתי שמש</t>
        </is>
      </c>
      <c r="B8" s="7" t="inlineStr">
        <is>
          <t>נשקייה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9">
        <f>COUNTIF(D8:CX8,"בסיס")</f>
        <v/>
      </c>
      <c r="CZ8" s="9">
        <f>COUNTIF(D8:CX8,"בית")</f>
        <v/>
      </c>
      <c r="DA8" s="9">
        <f>SUMPRODUCT($D$35:$CX$35,--(D8:CX8="בית"))</f>
        <v/>
      </c>
      <c r="DB8" s="9">
        <f>SUMPRODUCT($D$36:$CX$36,--(D8:CX8="בית"))</f>
        <v/>
      </c>
    </row>
    <row r="9">
      <c r="A9" s="6" t="inlineStr">
        <is>
          <t>אביעד כהן</t>
        </is>
      </c>
      <c r="B9" s="7" t="inlineStr">
        <is>
          <t>נשקייה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9">
        <f>COUNTIF(D9:CX9,"בסיס")</f>
        <v/>
      </c>
      <c r="CZ9" s="9">
        <f>COUNTIF(D9:CX9,"בית")</f>
        <v/>
      </c>
      <c r="DA9" s="9">
        <f>SUMPRODUCT($D$35:$CX$35,--(D9:CX9="בית"))</f>
        <v/>
      </c>
      <c r="DB9" s="9">
        <f>SUMPRODUCT($D$36:$CX$36,--(D9:CX9="בית"))</f>
        <v/>
      </c>
    </row>
    <row r="10">
      <c r="A10" s="6" t="inlineStr">
        <is>
          <t>אזוגי נתנאל</t>
        </is>
      </c>
      <c r="B10" s="7" t="inlineStr">
        <is>
          <t>אפסנאות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9">
        <f>COUNTIF(D10:CX10,"בסיס")</f>
        <v/>
      </c>
      <c r="CZ10" s="9">
        <f>COUNTIF(D10:CX10,"בית")</f>
        <v/>
      </c>
      <c r="DA10" s="9">
        <f>SUMPRODUCT($D$35:$CX$35,--(D10:CX10="בית"))</f>
        <v/>
      </c>
      <c r="DB10" s="9">
        <f>SUMPRODUCT($D$36:$CX$36,--(D10:CX10="בית"))</f>
        <v/>
      </c>
    </row>
    <row r="11">
      <c r="A11" s="6" t="inlineStr">
        <is>
          <t>ניב סורוקר</t>
        </is>
      </c>
      <c r="B11" s="7" t="inlineStr">
        <is>
          <t>אפסנאות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9">
        <f>COUNTIF(D11:CX11,"בסיס")</f>
        <v/>
      </c>
      <c r="CZ11" s="9">
        <f>COUNTIF(D11:CX11,"בית")</f>
        <v/>
      </c>
      <c r="DA11" s="9">
        <f>SUMPRODUCT($D$35:$CX$35,--(D11:CX11="בית"))</f>
        <v/>
      </c>
      <c r="DB11" s="9">
        <f>SUMPRODUCT($D$36:$CX$36,--(D11:CX11="בית"))</f>
        <v/>
      </c>
    </row>
    <row r="12">
      <c r="A12" s="6" t="inlineStr">
        <is>
          <t>צבי לונדין</t>
        </is>
      </c>
      <c r="B12" s="7" t="inlineStr">
        <is>
          <t>אפסנאות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9">
        <f>COUNTIF(D12:CX12,"בסיס")</f>
        <v/>
      </c>
      <c r="CZ12" s="9">
        <f>COUNTIF(D12:CX12,"בית")</f>
        <v/>
      </c>
      <c r="DA12" s="9">
        <f>SUMPRODUCT($D$35:$CX$35,--(D12:CX12="בית"))</f>
        <v/>
      </c>
      <c r="DB12" s="9">
        <f>SUMPRODUCT($D$36:$CX$36,--(D12:CX12="בית"))</f>
        <v/>
      </c>
    </row>
    <row r="13">
      <c r="A13" s="6" t="inlineStr">
        <is>
          <t>יוסף חגואל</t>
        </is>
      </c>
      <c r="B13" s="7" t="inlineStr">
        <is>
          <t>נשקייה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9">
        <f>COUNTIF(D13:CX13,"בסיס")</f>
        <v/>
      </c>
      <c r="CZ13" s="9">
        <f>COUNTIF(D13:CX13,"בית")</f>
        <v/>
      </c>
      <c r="DA13" s="9">
        <f>SUMPRODUCT($D$35:$CX$35,--(D13:CX13="בית"))</f>
        <v/>
      </c>
      <c r="DB13" s="9">
        <f>SUMPRODUCT($D$36:$CX$36,--(D13:CX13="בית"))</f>
        <v/>
      </c>
    </row>
    <row r="14">
      <c r="A14" s="6" t="inlineStr">
        <is>
          <t>אדם ממן</t>
        </is>
      </c>
      <c r="B14" s="7" t="inlineStr">
        <is>
          <t>סמל אפסנאות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9">
        <f>COUNTIF(D14:CX14,"בסיס")</f>
        <v/>
      </c>
      <c r="CZ14" s="9">
        <f>COUNTIF(D14:CX14,"בית")</f>
        <v/>
      </c>
      <c r="DA14" s="9">
        <f>SUMPRODUCT($D$35:$CX$35,--(D14:CX14="בית"))</f>
        <v/>
      </c>
      <c r="DB14" s="9">
        <f>SUMPRODUCT($D$36:$CX$36,--(D14:CX14="בית"))</f>
        <v/>
      </c>
    </row>
    <row r="15">
      <c r="A15" s="6" t="inlineStr">
        <is>
          <t>גבריאל יעקוביאן</t>
        </is>
      </c>
      <c r="B15" s="7" t="inlineStr">
        <is>
          <t>נשקייה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9">
        <f>COUNTIF(D15:CX15,"בסיס")</f>
        <v/>
      </c>
      <c r="CZ15" s="9">
        <f>COUNTIF(D15:CX15,"בית")</f>
        <v/>
      </c>
      <c r="DA15" s="9">
        <f>SUMPRODUCT($D$35:$CX$35,--(D15:CX15="בית"))</f>
        <v/>
      </c>
      <c r="DB15" s="9">
        <f>SUMPRODUCT($D$36:$CX$36,--(D15:CX15="בית"))</f>
        <v/>
      </c>
    </row>
    <row r="16">
      <c r="A16" s="6" t="inlineStr">
        <is>
          <t>יקיר אלימלך</t>
        </is>
      </c>
      <c r="B16" s="7" t="inlineStr">
        <is>
          <t>אפסנאות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9">
        <f>COUNTIF(D16:CX16,"בסיס")</f>
        <v/>
      </c>
      <c r="CZ16" s="9">
        <f>COUNTIF(D16:CX16,"בית")</f>
        <v/>
      </c>
      <c r="DA16" s="9">
        <f>SUMPRODUCT($D$35:$CX$35,--(D16:CX16="בית"))</f>
        <v/>
      </c>
      <c r="DB16" s="9">
        <f>SUMPRODUCT($D$36:$CX$36,--(D16:CX16="בית"))</f>
        <v/>
      </c>
    </row>
    <row r="17">
      <c r="A17" s="6" t="inlineStr">
        <is>
          <t>יוסי כהן</t>
        </is>
      </c>
      <c r="B17" s="7" t="inlineStr">
        <is>
          <t>נשקייה-רחפנים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9">
        <f>COUNTIF(D17:CX17,"בסיס")</f>
        <v/>
      </c>
      <c r="CZ17" s="9">
        <f>COUNTIF(D17:CX17,"בית")</f>
        <v/>
      </c>
      <c r="DA17" s="9">
        <f>SUMPRODUCT($D$35:$CX$35,--(D17:CX17="בית"))</f>
        <v/>
      </c>
      <c r="DB17" s="9">
        <f>SUMPRODUCT($D$36:$CX$36,--(D17:CX17="בית"))</f>
        <v/>
      </c>
    </row>
    <row r="18">
      <c r="A18" s="6" t="inlineStr">
        <is>
          <t>רון בן שושן</t>
        </is>
      </c>
      <c r="B18" s="7" t="inlineStr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9">
        <f>COUNTIF(D18:CX18,"בסיס")</f>
        <v/>
      </c>
      <c r="CZ18" s="9">
        <f>COUNTIF(D18:CX18,"בית")</f>
        <v/>
      </c>
      <c r="DA18" s="9">
        <f>SUMPRODUCT($D$35:$CX$35,--(D18:CX18="בית"))</f>
        <v/>
      </c>
      <c r="DB18" s="9">
        <f>SUMPRODUCT($D$36:$CX$36,--(D18:CX18="בית"))</f>
        <v/>
      </c>
    </row>
    <row r="19">
      <c r="A19" s="6" t="inlineStr">
        <is>
          <t>דוד שמחי</t>
        </is>
      </c>
      <c r="B19" s="7" t="inlineStr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9">
        <f>COUNTIF(D19:CX19,"בסיס")</f>
        <v/>
      </c>
      <c r="CZ19" s="9">
        <f>COUNTIF(D19:CX19,"בית")</f>
        <v/>
      </c>
      <c r="DA19" s="9">
        <f>SUMPRODUCT($D$35:$CX$35,--(D19:CX19="בית"))</f>
        <v/>
      </c>
      <c r="DB19" s="9">
        <f>SUMPRODUCT($D$36:$CX$36,--(D19:CX19="בית"))</f>
        <v/>
      </c>
    </row>
    <row r="20">
      <c r="A20" s="6" t="inlineStr">
        <is>
          <t>לב גינזבורג</t>
        </is>
      </c>
      <c r="B20" s="7" t="inlineStr">
        <is>
          <t>נשקייה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9">
        <f>COUNTIF(D20:CX20,"בסיס")</f>
        <v/>
      </c>
      <c r="CZ20" s="9">
        <f>COUNTIF(D20:CX20,"בית")</f>
        <v/>
      </c>
      <c r="DA20" s="9">
        <f>SUMPRODUCT($D$35:$CX$35,--(D20:CX20="בית"))</f>
        <v/>
      </c>
      <c r="DB20" s="9">
        <f>SUMPRODUCT($D$36:$CX$36,--(D20:CX20="בית"))</f>
        <v/>
      </c>
    </row>
    <row r="21">
      <c r="A21" s="6" t="inlineStr">
        <is>
          <t>יעקב גרמאי</t>
        </is>
      </c>
      <c r="B21" s="7" t="inlineStr">
        <is>
          <t>אפסנאות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9">
        <f>COUNTIF(D21:CX21,"בסיס")</f>
        <v/>
      </c>
      <c r="CZ21" s="9">
        <f>COUNTIF(D21:CX21,"בית")</f>
        <v/>
      </c>
      <c r="DA21" s="9">
        <f>SUMPRODUCT($D$35:$CX$35,--(D21:CX21="בית"))</f>
        <v/>
      </c>
      <c r="DB21" s="9">
        <f>SUMPRODUCT($D$36:$CX$36,--(D21:CX21="בית"))</f>
        <v/>
      </c>
    </row>
    <row r="22">
      <c r="A22" s="6" t="inlineStr">
        <is>
          <t>עידן אשטון</t>
        </is>
      </c>
      <c r="B22" s="7" t="inlineStr">
        <is>
          <t>אפסנאות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9">
        <f>COUNTIF(D22:CX22,"בסיס")</f>
        <v/>
      </c>
      <c r="CZ22" s="9">
        <f>COUNTIF(D22:CX22,"בית")</f>
        <v/>
      </c>
      <c r="DA22" s="9">
        <f>SUMPRODUCT($D$35:$CX$35,--(D22:CX22="בית"))</f>
        <v/>
      </c>
      <c r="DB22" s="9">
        <f>SUMPRODUCT($D$36:$CX$36,--(D22:CX22="בית"))</f>
        <v/>
      </c>
    </row>
    <row r="23">
      <c r="A23" s="6" t="inlineStr">
        <is>
          <t>עומר נוימן</t>
        </is>
      </c>
      <c r="B23" s="7" t="inlineStr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9">
        <f>COUNTIF(D23:CX23,"בסיס")</f>
        <v/>
      </c>
      <c r="CZ23" s="9">
        <f>COUNTIF(D23:CX23,"בית")</f>
        <v/>
      </c>
      <c r="DA23" s="9">
        <f>SUMPRODUCT($D$35:$CX$35,--(D23:CX23="בית"))</f>
        <v/>
      </c>
      <c r="DB23" s="9">
        <f>SUMPRODUCT($D$36:$CX$36,--(D23:CX23="בית"))</f>
        <v/>
      </c>
    </row>
    <row r="24">
      <c r="A24" s="6" t="inlineStr">
        <is>
          <t>דוד עבאדה</t>
        </is>
      </c>
      <c r="B24" s="7" t="inlineStr">
        <is>
          <t>אפסנאות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9">
        <f>COUNTIF(D24:CX24,"בסיס")</f>
        <v/>
      </c>
      <c r="CZ24" s="9">
        <f>COUNTIF(D24:CX24,"בית")</f>
        <v/>
      </c>
      <c r="DA24" s="9">
        <f>SUMPRODUCT($D$35:$CX$35,--(D24:CX24="בית"))</f>
        <v/>
      </c>
      <c r="DB24" s="9">
        <f>SUMPRODUCT($D$36:$CX$36,--(D24:CX24="בית"))</f>
        <v/>
      </c>
    </row>
    <row r="25">
      <c r="A25" s="6" t="inlineStr">
        <is>
          <t>אוראל קקון</t>
        </is>
      </c>
      <c r="B25" s="7" t="inlineStr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9">
        <f>COUNTIF(D25:CX25,"בסיס")</f>
        <v/>
      </c>
      <c r="CZ25" s="9">
        <f>COUNTIF(D25:CX25,"בית")</f>
        <v/>
      </c>
      <c r="DA25" s="9">
        <f>SUMPRODUCT($D$35:$CX$35,--(D25:CX25="בית"))</f>
        <v/>
      </c>
      <c r="DB25" s="9">
        <f>SUMPRODUCT($D$36:$CX$36,--(D25:CX25="בית"))</f>
        <v/>
      </c>
    </row>
    <row r="26">
      <c r="A26" s="6" t="inlineStr">
        <is>
          <t>אלחנן טירי</t>
        </is>
      </c>
      <c r="B26" s="7" t="inlineStr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9">
        <f>COUNTIF(D26:CX26,"בסיס")</f>
        <v/>
      </c>
      <c r="CZ26" s="9">
        <f>COUNTIF(D26:CX26,"בית")</f>
        <v/>
      </c>
      <c r="DA26" s="9">
        <f>SUMPRODUCT($D$35:$CX$35,--(D26:CX26="בית"))</f>
        <v/>
      </c>
      <c r="DB26" s="9">
        <f>SUMPRODUCT($D$36:$CX$36,--(D26:CX26="בית"))</f>
        <v/>
      </c>
    </row>
    <row r="27">
      <c r="A27" s="6" t="inlineStr">
        <is>
          <t>ארמיאס בלאציאו</t>
        </is>
      </c>
      <c r="B27" s="7" t="inlineStr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9">
        <f>COUNTIF(D27:CX27,"בסיס")</f>
        <v/>
      </c>
      <c r="CZ27" s="9">
        <f>COUNTIF(D27:CX27,"בית")</f>
        <v/>
      </c>
      <c r="DA27" s="9">
        <f>SUMPRODUCT($D$35:$CX$35,--(D27:CX27="בית"))</f>
        <v/>
      </c>
      <c r="DB27" s="9">
        <f>SUMPRODUCT($D$36:$CX$36,--(D27:CX27="בית"))</f>
        <v/>
      </c>
    </row>
    <row r="28">
      <c r="A28" s="6" t="inlineStr">
        <is>
          <t>משה אברהם</t>
        </is>
      </c>
      <c r="B28" s="7" t="inlineStr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9">
        <f>COUNTIF(D28:CX28,"בסיס")</f>
        <v/>
      </c>
      <c r="CZ28" s="9">
        <f>COUNTIF(D28:CX28,"בית")</f>
        <v/>
      </c>
      <c r="DA28" s="9">
        <f>SUMPRODUCT($D$35:$CX$35,--(D28:CX28="בית"))</f>
        <v/>
      </c>
      <c r="DB28" s="9">
        <f>SUMPRODUCT($D$36:$CX$36,--(D28:CX28="בית"))</f>
        <v/>
      </c>
    </row>
    <row r="29">
      <c r="A29" s="6" t="inlineStr">
        <is>
          <t>רון אוסטפוב</t>
        </is>
      </c>
      <c r="B29" s="7" t="inlineStr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9">
        <f>COUNTIF(D29:CX29,"בסיס")</f>
        <v/>
      </c>
      <c r="CZ29" s="9">
        <f>COUNTIF(D29:CX29,"בית")</f>
        <v/>
      </c>
      <c r="DA29" s="9">
        <f>SUMPRODUCT($D$35:$CX$35,--(D29:CX29="בית"))</f>
        <v/>
      </c>
      <c r="DB29" s="9">
        <f>SUMPRODUCT($D$36:$CX$36,--(D29:CX29="בית"))</f>
        <v/>
      </c>
    </row>
    <row r="30">
      <c r="A30" s="10" t="inlineStr">
        <is>
          <t>סה"כ בבסיס</t>
        </is>
      </c>
      <c r="D30" s="11">
        <f>COUNTIF(D4:D29,"בסיס")</f>
        <v/>
      </c>
      <c r="E30" s="11">
        <f>COUNTIF(E4:E29,"בסיס")</f>
        <v/>
      </c>
      <c r="F30" s="11">
        <f>COUNTIF(F4:F29,"בסיס")</f>
        <v/>
      </c>
      <c r="G30" s="11">
        <f>COUNTIF(G4:G29,"בסיס")</f>
        <v/>
      </c>
      <c r="H30" s="11">
        <f>COUNTIF(H4:H29,"בסיס")</f>
        <v/>
      </c>
      <c r="I30" s="11">
        <f>COUNTIF(I4:I29,"בסיס")</f>
        <v/>
      </c>
      <c r="J30" s="11">
        <f>COUNTIF(J4:J29,"בסיס")</f>
        <v/>
      </c>
      <c r="K30" s="11">
        <f>COUNTIF(K4:K29,"בסיס")</f>
        <v/>
      </c>
      <c r="L30" s="11">
        <f>COUNTIF(L4:L29,"בסיס")</f>
        <v/>
      </c>
      <c r="M30" s="11">
        <f>COUNTIF(M4:M29,"בסיס")</f>
        <v/>
      </c>
      <c r="N30" s="11">
        <f>COUNTIF(N4:N29,"בסיס")</f>
        <v/>
      </c>
      <c r="O30" s="11">
        <f>COUNTIF(O4:O29,"בסיס")</f>
        <v/>
      </c>
      <c r="P30" s="11">
        <f>COUNTIF(P4:P29,"בסיס")</f>
        <v/>
      </c>
      <c r="Q30" s="11">
        <f>COUNTIF(Q4:Q29,"בסיס")</f>
        <v/>
      </c>
      <c r="R30" s="11">
        <f>COUNTIF(R4:R29,"בסיס")</f>
        <v/>
      </c>
      <c r="S30" s="11">
        <f>COUNTIF(S4:S29,"בסיס")</f>
        <v/>
      </c>
      <c r="T30" s="11">
        <f>COUNTIF(T4:T29,"בסיס")</f>
        <v/>
      </c>
      <c r="U30" s="11">
        <f>COUNTIF(U4:U29,"בסיס")</f>
        <v/>
      </c>
      <c r="V30" s="11">
        <f>COUNTIF(V4:V29,"בסיס")</f>
        <v/>
      </c>
      <c r="W30" s="11">
        <f>COUNTIF(W4:W29,"בסיס")</f>
        <v/>
      </c>
      <c r="X30" s="11">
        <f>COUNTIF(X4:X29,"בסיס")</f>
        <v/>
      </c>
      <c r="Y30" s="11">
        <f>COUNTIF(Y4:Y29,"בסיס")</f>
        <v/>
      </c>
      <c r="Z30" s="11">
        <f>COUNTIF(Z4:Z29,"בסיס")</f>
        <v/>
      </c>
      <c r="AA30" s="11">
        <f>COUNTIF(AA4:AA29,"בסיס")</f>
        <v/>
      </c>
      <c r="AB30" s="11">
        <f>COUNTIF(AB4:AB29,"בסיס")</f>
        <v/>
      </c>
      <c r="AC30" s="11">
        <f>COUNTIF(AC4:AC29,"בסיס")</f>
        <v/>
      </c>
      <c r="AD30" s="11">
        <f>COUNTIF(AD4:AD29,"בסיס")</f>
        <v/>
      </c>
      <c r="AE30" s="11">
        <f>COUNTIF(AE4:AE29,"בסיס")</f>
        <v/>
      </c>
      <c r="AF30" s="11">
        <f>COUNTIF(AF4:AF29,"בסיס")</f>
        <v/>
      </c>
      <c r="AG30" s="11">
        <f>COUNTIF(AG4:AG29,"בסיס")</f>
        <v/>
      </c>
      <c r="AH30" s="11">
        <f>COUNTIF(AH4:AH29,"בסיס")</f>
        <v/>
      </c>
      <c r="AI30" s="11">
        <f>COUNTIF(AI4:AI29,"בסיס")</f>
        <v/>
      </c>
      <c r="AJ30" s="11">
        <f>COUNTIF(AJ4:AJ29,"בסיס")</f>
        <v/>
      </c>
      <c r="AK30" s="11">
        <f>COUNTIF(AK4:AK29,"בסיס")</f>
        <v/>
      </c>
      <c r="AL30" s="11">
        <f>COUNTIF(AL4:AL29,"בסיס")</f>
        <v/>
      </c>
      <c r="AM30" s="11">
        <f>COUNTIF(AM4:AM29,"בסיס")</f>
        <v/>
      </c>
      <c r="AN30" s="11">
        <f>COUNTIF(AN4:AN29,"בסיס")</f>
        <v/>
      </c>
      <c r="AO30" s="11">
        <f>COUNTIF(AO4:AO29,"בסיס")</f>
        <v/>
      </c>
      <c r="AP30" s="11">
        <f>COUNTIF(AP4:AP29,"בסיס")</f>
        <v/>
      </c>
      <c r="AQ30" s="11">
        <f>COUNTIF(AQ4:AQ29,"בסיס")</f>
        <v/>
      </c>
      <c r="AR30" s="11">
        <f>COUNTIF(AR4:AR29,"בסיס")</f>
        <v/>
      </c>
      <c r="AS30" s="11">
        <f>COUNTIF(AS4:AS29,"בסיס")</f>
        <v/>
      </c>
      <c r="AT30" s="11">
        <f>COUNTIF(AT4:AT29,"בסיס")</f>
        <v/>
      </c>
      <c r="AU30" s="11">
        <f>COUNTIF(AU4:AU29,"בסיס")</f>
        <v/>
      </c>
      <c r="AV30" s="11">
        <f>COUNTIF(AV4:AV29,"בסיס")</f>
        <v/>
      </c>
      <c r="AW30" s="11">
        <f>COUNTIF(AW4:AW29,"בסיס")</f>
        <v/>
      </c>
      <c r="AX30" s="11">
        <f>COUNTIF(AX4:AX29,"בסיס")</f>
        <v/>
      </c>
      <c r="AY30" s="11">
        <f>COUNTIF(AY4:AY29,"בסיס")</f>
        <v/>
      </c>
      <c r="AZ30" s="11">
        <f>COUNTIF(AZ4:AZ29,"בסיס")</f>
        <v/>
      </c>
      <c r="BA30" s="11">
        <f>COUNTIF(BA4:BA29,"בסיס")</f>
        <v/>
      </c>
      <c r="BB30" s="11">
        <f>COUNTIF(BB4:BB29,"בסיס")</f>
        <v/>
      </c>
      <c r="BC30" s="11">
        <f>COUNTIF(BC4:BC29,"בסיס")</f>
        <v/>
      </c>
      <c r="BD30" s="11">
        <f>COUNTIF(BD4:BD29,"בסיס")</f>
        <v/>
      </c>
      <c r="BE30" s="11">
        <f>COUNTIF(BE4:BE29,"בסיס")</f>
        <v/>
      </c>
      <c r="BF30" s="11">
        <f>COUNTIF(BF4:BF29,"בסיס")</f>
        <v/>
      </c>
      <c r="BG30" s="11">
        <f>COUNTIF(BG4:BG29,"בסיס")</f>
        <v/>
      </c>
      <c r="BH30" s="11">
        <f>COUNTIF(BH4:BH29,"בסיס")</f>
        <v/>
      </c>
      <c r="BI30" s="11">
        <f>COUNTIF(BI4:BI29,"בסיס")</f>
        <v/>
      </c>
      <c r="BJ30" s="11">
        <f>COUNTIF(BJ4:BJ29,"בסיס")</f>
        <v/>
      </c>
      <c r="BK30" s="11">
        <f>COUNTIF(BK4:BK29,"בסיס")</f>
        <v/>
      </c>
      <c r="BL30" s="11">
        <f>COUNTIF(BL4:BL29,"בסיס")</f>
        <v/>
      </c>
      <c r="BM30" s="11">
        <f>COUNTIF(BM4:BM29,"בסיס")</f>
        <v/>
      </c>
      <c r="BN30" s="11">
        <f>COUNTIF(BN4:BN29,"בסיס")</f>
        <v/>
      </c>
      <c r="BO30" s="11">
        <f>COUNTIF(BO4:BO29,"בסיס")</f>
        <v/>
      </c>
      <c r="BP30" s="11">
        <f>COUNTIF(BP4:BP29,"בסיס")</f>
        <v/>
      </c>
      <c r="BQ30" s="11">
        <f>COUNTIF(BQ4:BQ29,"בסיס")</f>
        <v/>
      </c>
      <c r="BR30" s="11">
        <f>COUNTIF(BR4:BR29,"בסיס")</f>
        <v/>
      </c>
      <c r="BS30" s="11">
        <f>COUNTIF(BS4:BS29,"בסיס")</f>
        <v/>
      </c>
      <c r="BT30" s="11">
        <f>COUNTIF(BT4:BT29,"בסיס")</f>
        <v/>
      </c>
      <c r="BU30" s="11">
        <f>COUNTIF(BU4:BU29,"בסיס")</f>
        <v/>
      </c>
      <c r="BV30" s="11">
        <f>COUNTIF(BV4:BV29,"בסיס")</f>
        <v/>
      </c>
      <c r="BW30" s="11">
        <f>COUNTIF(BW4:BW29,"בסיס")</f>
        <v/>
      </c>
      <c r="BX30" s="11">
        <f>COUNTIF(BX4:BX29,"בסיס")</f>
        <v/>
      </c>
      <c r="BY30" s="11">
        <f>COUNTIF(BY4:BY29,"בסיס")</f>
        <v/>
      </c>
      <c r="BZ30" s="11">
        <f>COUNTIF(BZ4:BZ29,"בסיס")</f>
        <v/>
      </c>
      <c r="CA30" s="11">
        <f>COUNTIF(CA4:CA29,"בסיס")</f>
        <v/>
      </c>
      <c r="CB30" s="11">
        <f>COUNTIF(CB4:CB29,"בסיס")</f>
        <v/>
      </c>
      <c r="CC30" s="11">
        <f>COUNTIF(CC4:CC29,"בסיס")</f>
        <v/>
      </c>
      <c r="CD30" s="11">
        <f>COUNTIF(CD4:CD29,"בסיס")</f>
        <v/>
      </c>
      <c r="CE30" s="11">
        <f>COUNTIF(CE4:CE29,"בסיס")</f>
        <v/>
      </c>
      <c r="CF30" s="11">
        <f>COUNTIF(CF4:CF29,"בסיס")</f>
        <v/>
      </c>
      <c r="CG30" s="11">
        <f>COUNTIF(CG4:CG29,"בסיס")</f>
        <v/>
      </c>
      <c r="CH30" s="11">
        <f>COUNTIF(CH4:CH29,"בסיס")</f>
        <v/>
      </c>
      <c r="CI30" s="11">
        <f>COUNTIF(CI4:CI29,"בסיס")</f>
        <v/>
      </c>
      <c r="CJ30" s="11">
        <f>COUNTIF(CJ4:CJ29,"בסיס")</f>
        <v/>
      </c>
      <c r="CK30" s="11">
        <f>COUNTIF(CK4:CK29,"בסיס")</f>
        <v/>
      </c>
      <c r="CL30" s="11">
        <f>COUNTIF(CL4:CL29,"בסיס")</f>
        <v/>
      </c>
      <c r="CM30" s="11">
        <f>COUNTIF(CM4:CM29,"בסיס")</f>
        <v/>
      </c>
      <c r="CN30" s="11">
        <f>COUNTIF(CN4:CN29,"בסיס")</f>
        <v/>
      </c>
      <c r="CO30" s="11">
        <f>COUNTIF(CO4:CO29,"בסיס")</f>
        <v/>
      </c>
      <c r="CP30" s="11">
        <f>COUNTIF(CP4:CP29,"בסיס")</f>
        <v/>
      </c>
      <c r="CQ30" s="11">
        <f>COUNTIF(CQ4:CQ29,"בסיס")</f>
        <v/>
      </c>
      <c r="CR30" s="11">
        <f>COUNTIF(CR4:CR29,"בסיס")</f>
        <v/>
      </c>
      <c r="CS30" s="11">
        <f>COUNTIF(CS4:CS29,"בסיס")</f>
        <v/>
      </c>
      <c r="CT30" s="11">
        <f>COUNTIF(CT4:CT29,"בסיס")</f>
        <v/>
      </c>
      <c r="CU30" s="11">
        <f>COUNTIF(CU4:CU29,"בסיס")</f>
        <v/>
      </c>
      <c r="CV30" s="11">
        <f>COUNTIF(CV4:CV29,"בסיס")</f>
        <v/>
      </c>
      <c r="CW30" s="11">
        <f>COUNTIF(CW4:CW29,"בסיס")</f>
        <v/>
      </c>
      <c r="CX30" s="11">
        <f>COUNTIF(CX4:CX29,"בסיס")</f>
        <v/>
      </c>
    </row>
    <row r="31">
      <c r="A31" s="10" t="inlineStr">
        <is>
          <t>נשקייה בבסיס</t>
        </is>
      </c>
      <c r="D31" s="11">
        <f>COUNTIFS($B$4:$B$29,"*נשקייה*",D4:D29,"בסיס")</f>
        <v/>
      </c>
      <c r="E31" s="11">
        <f>COUNTIFS($B$4:$B$29,"*נשקייה*",E4:E29,"בסיס")</f>
        <v/>
      </c>
      <c r="F31" s="11">
        <f>COUNTIFS($B$4:$B$29,"*נשקייה*",F4:F29,"בסיס")</f>
        <v/>
      </c>
      <c r="G31" s="11">
        <f>COUNTIFS($B$4:$B$29,"*נשקייה*",G4:G29,"בסיס")</f>
        <v/>
      </c>
      <c r="H31" s="11">
        <f>COUNTIFS($B$4:$B$29,"*נשקייה*",H4:H29,"בסיס")</f>
        <v/>
      </c>
      <c r="I31" s="11">
        <f>COUNTIFS($B$4:$B$29,"*נשקייה*",I4:I29,"בסיס")</f>
        <v/>
      </c>
      <c r="J31" s="11">
        <f>COUNTIFS($B$4:$B$29,"*נשקייה*",J4:J29,"בסיס")</f>
        <v/>
      </c>
      <c r="K31" s="11">
        <f>COUNTIFS($B$4:$B$29,"*נשקייה*",K4:K29,"בסיס")</f>
        <v/>
      </c>
      <c r="L31" s="11">
        <f>COUNTIFS($B$4:$B$29,"*נשקייה*",L4:L29,"בסיס")</f>
        <v/>
      </c>
      <c r="M31" s="11">
        <f>COUNTIFS($B$4:$B$29,"*נשקייה*",M4:M29,"בסיס")</f>
        <v/>
      </c>
      <c r="N31" s="11">
        <f>COUNTIFS($B$4:$B$29,"*נשקייה*",N4:N29,"בסיס")</f>
        <v/>
      </c>
      <c r="O31" s="11">
        <f>COUNTIFS($B$4:$B$29,"*נשקייה*",O4:O29,"בסיס")</f>
        <v/>
      </c>
      <c r="P31" s="11">
        <f>COUNTIFS($B$4:$B$29,"*נשקייה*",P4:P29,"בסיס")</f>
        <v/>
      </c>
      <c r="Q31" s="11">
        <f>COUNTIFS($B$4:$B$29,"*נשקייה*",Q4:Q29,"בסיס")</f>
        <v/>
      </c>
      <c r="R31" s="11">
        <f>COUNTIFS($B$4:$B$29,"*נשקייה*",R4:R29,"בסיס")</f>
        <v/>
      </c>
      <c r="S31" s="11">
        <f>COUNTIFS($B$4:$B$29,"*נשקייה*",S4:S29,"בסיס")</f>
        <v/>
      </c>
      <c r="T31" s="11">
        <f>COUNTIFS($B$4:$B$29,"*נשקייה*",T4:T29,"בסיס")</f>
        <v/>
      </c>
      <c r="U31" s="11">
        <f>COUNTIFS($B$4:$B$29,"*נשקייה*",U4:U29,"בסיס")</f>
        <v/>
      </c>
      <c r="V31" s="11">
        <f>COUNTIFS($B$4:$B$29,"*נשקייה*",V4:V29,"בסיס")</f>
        <v/>
      </c>
      <c r="W31" s="11">
        <f>COUNTIFS($B$4:$B$29,"*נשקייה*",W4:W29,"בסיס")</f>
        <v/>
      </c>
      <c r="X31" s="11">
        <f>COUNTIFS($B$4:$B$29,"*נשקייה*",X4:X29,"בסיס")</f>
        <v/>
      </c>
      <c r="Y31" s="11">
        <f>COUNTIFS($B$4:$B$29,"*נשקייה*",Y4:Y29,"בסיס")</f>
        <v/>
      </c>
      <c r="Z31" s="11">
        <f>COUNTIFS($B$4:$B$29,"*נשקייה*",Z4:Z29,"בסיס")</f>
        <v/>
      </c>
      <c r="AA31" s="11">
        <f>COUNTIFS($B$4:$B$29,"*נשקייה*",AA4:AA29,"בסיס")</f>
        <v/>
      </c>
      <c r="AB31" s="11">
        <f>COUNTIFS($B$4:$B$29,"*נשקייה*",AB4:AB29,"בסיס")</f>
        <v/>
      </c>
      <c r="AC31" s="11">
        <f>COUNTIFS($B$4:$B$29,"*נשקייה*",AC4:AC29,"בסיס")</f>
        <v/>
      </c>
      <c r="AD31" s="11">
        <f>COUNTIFS($B$4:$B$29,"*נשקייה*",AD4:AD29,"בסיס")</f>
        <v/>
      </c>
      <c r="AE31" s="11">
        <f>COUNTIFS($B$4:$B$29,"*נשקייה*",AE4:AE29,"בסיס")</f>
        <v/>
      </c>
      <c r="AF31" s="11">
        <f>COUNTIFS($B$4:$B$29,"*נשקייה*",AF4:AF29,"בסיס")</f>
        <v/>
      </c>
      <c r="AG31" s="11">
        <f>COUNTIFS($B$4:$B$29,"*נשקייה*",AG4:AG29,"בסיס")</f>
        <v/>
      </c>
      <c r="AH31" s="11">
        <f>COUNTIFS($B$4:$B$29,"*נשקייה*",AH4:AH29,"בסיס")</f>
        <v/>
      </c>
      <c r="AI31" s="11">
        <f>COUNTIFS($B$4:$B$29,"*נשקייה*",AI4:AI29,"בסיס")</f>
        <v/>
      </c>
      <c r="AJ31" s="11">
        <f>COUNTIFS($B$4:$B$29,"*נשקייה*",AJ4:AJ29,"בסיס")</f>
        <v/>
      </c>
      <c r="AK31" s="11">
        <f>COUNTIFS($B$4:$B$29,"*נשקייה*",AK4:AK29,"בסיס")</f>
        <v/>
      </c>
      <c r="AL31" s="11">
        <f>COUNTIFS($B$4:$B$29,"*נשקייה*",AL4:AL29,"בסיס")</f>
        <v/>
      </c>
      <c r="AM31" s="11">
        <f>COUNTIFS($B$4:$B$29,"*נשקייה*",AM4:AM29,"בסיס")</f>
        <v/>
      </c>
      <c r="AN31" s="11">
        <f>COUNTIFS($B$4:$B$29,"*נשקייה*",AN4:AN29,"בסיס")</f>
        <v/>
      </c>
      <c r="AO31" s="11">
        <f>COUNTIFS($B$4:$B$29,"*נשקייה*",AO4:AO29,"בסיס")</f>
        <v/>
      </c>
      <c r="AP31" s="11">
        <f>COUNTIFS($B$4:$B$29,"*נשקייה*",AP4:AP29,"בסיס")</f>
        <v/>
      </c>
      <c r="AQ31" s="11">
        <f>COUNTIFS($B$4:$B$29,"*נשקייה*",AQ4:AQ29,"בסיס")</f>
        <v/>
      </c>
      <c r="AR31" s="11">
        <f>COUNTIFS($B$4:$B$29,"*נשקייה*",AR4:AR29,"בסיס")</f>
        <v/>
      </c>
      <c r="AS31" s="11">
        <f>COUNTIFS($B$4:$B$29,"*נשקייה*",AS4:AS29,"בסיס")</f>
        <v/>
      </c>
      <c r="AT31" s="11">
        <f>COUNTIFS($B$4:$B$29,"*נשקייה*",AT4:AT29,"בסיס")</f>
        <v/>
      </c>
      <c r="AU31" s="11">
        <f>COUNTIFS($B$4:$B$29,"*נשקייה*",AU4:AU29,"בסיס")</f>
        <v/>
      </c>
      <c r="AV31" s="11">
        <f>COUNTIFS($B$4:$B$29,"*נשקייה*",AV4:AV29,"בסיס")</f>
        <v/>
      </c>
      <c r="AW31" s="11">
        <f>COUNTIFS($B$4:$B$29,"*נשקייה*",AW4:AW29,"בסיס")</f>
        <v/>
      </c>
      <c r="AX31" s="11">
        <f>COUNTIFS($B$4:$B$29,"*נשקייה*",AX4:AX29,"בסיס")</f>
        <v/>
      </c>
      <c r="AY31" s="11">
        <f>COUNTIFS($B$4:$B$29,"*נשקייה*",AY4:AY29,"בסיס")</f>
        <v/>
      </c>
      <c r="AZ31" s="11">
        <f>COUNTIFS($B$4:$B$29,"*נשקייה*",AZ4:AZ29,"בסיס")</f>
        <v/>
      </c>
      <c r="BA31" s="11">
        <f>COUNTIFS($B$4:$B$29,"*נשקייה*",BA4:BA29,"בסיס")</f>
        <v/>
      </c>
      <c r="BB31" s="11">
        <f>COUNTIFS($B$4:$B$29,"*נשקייה*",BB4:BB29,"בסיס")</f>
        <v/>
      </c>
      <c r="BC31" s="11">
        <f>COUNTIFS($B$4:$B$29,"*נשקייה*",BC4:BC29,"בסיס")</f>
        <v/>
      </c>
      <c r="BD31" s="11">
        <f>COUNTIFS($B$4:$B$29,"*נשקייה*",BD4:BD29,"בסיס")</f>
        <v/>
      </c>
      <c r="BE31" s="11">
        <f>COUNTIFS($B$4:$B$29,"*נשקייה*",BE4:BE29,"בסיס")</f>
        <v/>
      </c>
      <c r="BF31" s="11">
        <f>COUNTIFS($B$4:$B$29,"*נשקייה*",BF4:BF29,"בסיס")</f>
        <v/>
      </c>
      <c r="BG31" s="11">
        <f>COUNTIFS($B$4:$B$29,"*נשקייה*",BG4:BG29,"בסיס")</f>
        <v/>
      </c>
      <c r="BH31" s="11">
        <f>COUNTIFS($B$4:$B$29,"*נשקייה*",BH4:BH29,"בסיס")</f>
        <v/>
      </c>
      <c r="BI31" s="11">
        <f>COUNTIFS($B$4:$B$29,"*נשקייה*",BI4:BI29,"בסיס")</f>
        <v/>
      </c>
      <c r="BJ31" s="11">
        <f>COUNTIFS($B$4:$B$29,"*נשקייה*",BJ4:BJ29,"בסיס")</f>
        <v/>
      </c>
      <c r="BK31" s="11">
        <f>COUNTIFS($B$4:$B$29,"*נשקייה*",BK4:BK29,"בסיס")</f>
        <v/>
      </c>
      <c r="BL31" s="11">
        <f>COUNTIFS($B$4:$B$29,"*נשקייה*",BL4:BL29,"בסיס")</f>
        <v/>
      </c>
      <c r="BM31" s="11">
        <f>COUNTIFS($B$4:$B$29,"*נשקייה*",BM4:BM29,"בסיס")</f>
        <v/>
      </c>
      <c r="BN31" s="11">
        <f>COUNTIFS($B$4:$B$29,"*נשקייה*",BN4:BN29,"בסיס")</f>
        <v/>
      </c>
      <c r="BO31" s="11">
        <f>COUNTIFS($B$4:$B$29,"*נשקייה*",BO4:BO29,"בסיס")</f>
        <v/>
      </c>
      <c r="BP31" s="11">
        <f>COUNTIFS($B$4:$B$29,"*נשקייה*",BP4:BP29,"בסיס")</f>
        <v/>
      </c>
      <c r="BQ31" s="11">
        <f>COUNTIFS($B$4:$B$29,"*נשקייה*",BQ4:BQ29,"בסיס")</f>
        <v/>
      </c>
      <c r="BR31" s="11">
        <f>COUNTIFS($B$4:$B$29,"*נשקייה*",BR4:BR29,"בסיס")</f>
        <v/>
      </c>
      <c r="BS31" s="11">
        <f>COUNTIFS($B$4:$B$29,"*נשקייה*",BS4:BS29,"בסיס")</f>
        <v/>
      </c>
      <c r="BT31" s="11">
        <f>COUNTIFS($B$4:$B$29,"*נשקייה*",BT4:BT29,"בסיס")</f>
        <v/>
      </c>
      <c r="BU31" s="11">
        <f>COUNTIFS($B$4:$B$29,"*נשקייה*",BU4:BU29,"בסיס")</f>
        <v/>
      </c>
      <c r="BV31" s="11">
        <f>COUNTIFS($B$4:$B$29,"*נשקייה*",BV4:BV29,"בסיס")</f>
        <v/>
      </c>
      <c r="BW31" s="11">
        <f>COUNTIFS($B$4:$B$29,"*נשקייה*",BW4:BW29,"בסיס")</f>
        <v/>
      </c>
      <c r="BX31" s="11">
        <f>COUNTIFS($B$4:$B$29,"*נשקייה*",BX4:BX29,"בסיס")</f>
        <v/>
      </c>
      <c r="BY31" s="11">
        <f>COUNTIFS($B$4:$B$29,"*נשקייה*",BY4:BY29,"בסיס")</f>
        <v/>
      </c>
      <c r="BZ31" s="11">
        <f>COUNTIFS($B$4:$B$29,"*נשקייה*",BZ4:BZ29,"בסיס")</f>
        <v/>
      </c>
      <c r="CA31" s="11">
        <f>COUNTIFS($B$4:$B$29,"*נשקייה*",CA4:CA29,"בסיס")</f>
        <v/>
      </c>
      <c r="CB31" s="11">
        <f>COUNTIFS($B$4:$B$29,"*נשקייה*",CB4:CB29,"בסיס")</f>
        <v/>
      </c>
      <c r="CC31" s="11">
        <f>COUNTIFS($B$4:$B$29,"*נשקייה*",CC4:CC29,"בסיס")</f>
        <v/>
      </c>
      <c r="CD31" s="11">
        <f>COUNTIFS($B$4:$B$29,"*נשקייה*",CD4:CD29,"בסיס")</f>
        <v/>
      </c>
      <c r="CE31" s="11">
        <f>COUNTIFS($B$4:$B$29,"*נשקייה*",CE4:CE29,"בסיס")</f>
        <v/>
      </c>
      <c r="CF31" s="11">
        <f>COUNTIFS($B$4:$B$29,"*נשקייה*",CF4:CF29,"בסיס")</f>
        <v/>
      </c>
      <c r="CG31" s="11">
        <f>COUNTIFS($B$4:$B$29,"*נשקייה*",CG4:CG29,"בסיס")</f>
        <v/>
      </c>
      <c r="CH31" s="11">
        <f>COUNTIFS($B$4:$B$29,"*נשקייה*",CH4:CH29,"בסיס")</f>
        <v/>
      </c>
      <c r="CI31" s="11">
        <f>COUNTIFS($B$4:$B$29,"*נשקייה*",CI4:CI29,"בסיס")</f>
        <v/>
      </c>
      <c r="CJ31" s="11">
        <f>COUNTIFS($B$4:$B$29,"*נשקייה*",CJ4:CJ29,"בסיס")</f>
        <v/>
      </c>
      <c r="CK31" s="11">
        <f>COUNTIFS($B$4:$B$29,"*נשקייה*",CK4:CK29,"בסיס")</f>
        <v/>
      </c>
      <c r="CL31" s="11">
        <f>COUNTIFS($B$4:$B$29,"*נשקייה*",CL4:CL29,"בסיס")</f>
        <v/>
      </c>
      <c r="CM31" s="11">
        <f>COUNTIFS($B$4:$B$29,"*נשקייה*",CM4:CM29,"בסיס")</f>
        <v/>
      </c>
      <c r="CN31" s="11">
        <f>COUNTIFS($B$4:$B$29,"*נשקייה*",CN4:CN29,"בסיס")</f>
        <v/>
      </c>
      <c r="CO31" s="11">
        <f>COUNTIFS($B$4:$B$29,"*נשקייה*",CO4:CO29,"בסיס")</f>
        <v/>
      </c>
      <c r="CP31" s="11">
        <f>COUNTIFS($B$4:$B$29,"*נשקייה*",CP4:CP29,"בסיס")</f>
        <v/>
      </c>
      <c r="CQ31" s="11">
        <f>COUNTIFS($B$4:$B$29,"*נשקייה*",CQ4:CQ29,"בסיס")</f>
        <v/>
      </c>
      <c r="CR31" s="11">
        <f>COUNTIFS($B$4:$B$29,"*נשקייה*",CR4:CR29,"בסיס")</f>
        <v/>
      </c>
      <c r="CS31" s="11">
        <f>COUNTIFS($B$4:$B$29,"*נשקייה*",CS4:CS29,"בסיס")</f>
        <v/>
      </c>
      <c r="CT31" s="11">
        <f>COUNTIFS($B$4:$B$29,"*נשקייה*",CT4:CT29,"בסיס")</f>
        <v/>
      </c>
      <c r="CU31" s="11">
        <f>COUNTIFS($B$4:$B$29,"*נשקייה*",CU4:CU29,"בסיס")</f>
        <v/>
      </c>
      <c r="CV31" s="11">
        <f>COUNTIFS($B$4:$B$29,"*נשקייה*",CV4:CV29,"בסיס")</f>
        <v/>
      </c>
      <c r="CW31" s="11">
        <f>COUNTIFS($B$4:$B$29,"*נשקייה*",CW4:CW29,"בסיס")</f>
        <v/>
      </c>
      <c r="CX31" s="11">
        <f>COUNTIFS($B$4:$B$29,"*נשקייה*",CX4:CX29,"בסיס")</f>
        <v/>
      </c>
    </row>
    <row r="32">
      <c r="A32" s="10" t="inlineStr">
        <is>
          <t>אפסנאות בבסיס</t>
        </is>
      </c>
      <c r="D32" s="11">
        <f>COUNTIFS($B$4:$B$29,"*אפסנאות*",D4:D29,"בסיס")</f>
        <v/>
      </c>
      <c r="E32" s="11">
        <f>COUNTIFS($B$4:$B$29,"*אפסנאות*",E4:E29,"בסיס")</f>
        <v/>
      </c>
      <c r="F32" s="11">
        <f>COUNTIFS($B$4:$B$29,"*אפסנאות*",F4:F29,"בסיס")</f>
        <v/>
      </c>
      <c r="G32" s="11">
        <f>COUNTIFS($B$4:$B$29,"*אפסנאות*",G4:G29,"בסיס")</f>
        <v/>
      </c>
      <c r="H32" s="11">
        <f>COUNTIFS($B$4:$B$29,"*אפסנאות*",H4:H29,"בסיס")</f>
        <v/>
      </c>
      <c r="I32" s="11">
        <f>COUNTIFS($B$4:$B$29,"*אפסנאות*",I4:I29,"בסיס")</f>
        <v/>
      </c>
      <c r="J32" s="11">
        <f>COUNTIFS($B$4:$B$29,"*אפסנאות*",J4:J29,"בסיס")</f>
        <v/>
      </c>
      <c r="K32" s="11">
        <f>COUNTIFS($B$4:$B$29,"*אפסנאות*",K4:K29,"בסיס")</f>
        <v/>
      </c>
      <c r="L32" s="11">
        <f>COUNTIFS($B$4:$B$29,"*אפסנאות*",L4:L29,"בסיס")</f>
        <v/>
      </c>
      <c r="M32" s="11">
        <f>COUNTIFS($B$4:$B$29,"*אפסנאות*",M4:M29,"בסיס")</f>
        <v/>
      </c>
      <c r="N32" s="11">
        <f>COUNTIFS($B$4:$B$29,"*אפסנאות*",N4:N29,"בסיס")</f>
        <v/>
      </c>
      <c r="O32" s="11">
        <f>COUNTIFS($B$4:$B$29,"*אפסנאות*",O4:O29,"בסיס")</f>
        <v/>
      </c>
      <c r="P32" s="11">
        <f>COUNTIFS($B$4:$B$29,"*אפסנאות*",P4:P29,"בסיס")</f>
        <v/>
      </c>
      <c r="Q32" s="11">
        <f>COUNTIFS($B$4:$B$29,"*אפסנאות*",Q4:Q29,"בסיס")</f>
        <v/>
      </c>
      <c r="R32" s="11">
        <f>COUNTIFS($B$4:$B$29,"*אפסנאות*",R4:R29,"בסיס")</f>
        <v/>
      </c>
      <c r="S32" s="11">
        <f>COUNTIFS($B$4:$B$29,"*אפסנאות*",S4:S29,"בסיס")</f>
        <v/>
      </c>
      <c r="T32" s="11">
        <f>COUNTIFS($B$4:$B$29,"*אפסנאות*",T4:T29,"בסיס")</f>
        <v/>
      </c>
      <c r="U32" s="11">
        <f>COUNTIFS($B$4:$B$29,"*אפסנאות*",U4:U29,"בסיס")</f>
        <v/>
      </c>
      <c r="V32" s="11">
        <f>COUNTIFS($B$4:$B$29,"*אפסנאות*",V4:V29,"בסיס")</f>
        <v/>
      </c>
      <c r="W32" s="11">
        <f>COUNTIFS($B$4:$B$29,"*אפסנאות*",W4:W29,"בסיס")</f>
        <v/>
      </c>
      <c r="X32" s="11">
        <f>COUNTIFS($B$4:$B$29,"*אפסנאות*",X4:X29,"בסיס")</f>
        <v/>
      </c>
      <c r="Y32" s="11">
        <f>COUNTIFS($B$4:$B$29,"*אפסנאות*",Y4:Y29,"בסיס")</f>
        <v/>
      </c>
      <c r="Z32" s="11">
        <f>COUNTIFS($B$4:$B$29,"*אפסנאות*",Z4:Z29,"בסיס")</f>
        <v/>
      </c>
      <c r="AA32" s="11">
        <f>COUNTIFS($B$4:$B$29,"*אפסנאות*",AA4:AA29,"בסיס")</f>
        <v/>
      </c>
      <c r="AB32" s="11">
        <f>COUNTIFS($B$4:$B$29,"*אפסנאות*",AB4:AB29,"בסיס")</f>
        <v/>
      </c>
      <c r="AC32" s="11">
        <f>COUNTIFS($B$4:$B$29,"*אפסנאות*",AC4:AC29,"בסיס")</f>
        <v/>
      </c>
      <c r="AD32" s="11">
        <f>COUNTIFS($B$4:$B$29,"*אפסנאות*",AD4:AD29,"בסיס")</f>
        <v/>
      </c>
      <c r="AE32" s="11">
        <f>COUNTIFS($B$4:$B$29,"*אפסנאות*",AE4:AE29,"בסיס")</f>
        <v/>
      </c>
      <c r="AF32" s="11">
        <f>COUNTIFS($B$4:$B$29,"*אפסנאות*",AF4:AF29,"בסיס")</f>
        <v/>
      </c>
      <c r="AG32" s="11">
        <f>COUNTIFS($B$4:$B$29,"*אפסנאות*",AG4:AG29,"בסיס")</f>
        <v/>
      </c>
      <c r="AH32" s="11">
        <f>COUNTIFS($B$4:$B$29,"*אפסנאות*",AH4:AH29,"בסיס")</f>
        <v/>
      </c>
      <c r="AI32" s="11">
        <f>COUNTIFS($B$4:$B$29,"*אפסנאות*",AI4:AI29,"בסיס")</f>
        <v/>
      </c>
      <c r="AJ32" s="11">
        <f>COUNTIFS($B$4:$B$29,"*אפסנאות*",AJ4:AJ29,"בסיס")</f>
        <v/>
      </c>
      <c r="AK32" s="11">
        <f>COUNTIFS($B$4:$B$29,"*אפסנאות*",AK4:AK29,"בסיס")</f>
        <v/>
      </c>
      <c r="AL32" s="11">
        <f>COUNTIFS($B$4:$B$29,"*אפסנאות*",AL4:AL29,"בסיס")</f>
        <v/>
      </c>
      <c r="AM32" s="11">
        <f>COUNTIFS($B$4:$B$29,"*אפסנאות*",AM4:AM29,"בסיס")</f>
        <v/>
      </c>
      <c r="AN32" s="11">
        <f>COUNTIFS($B$4:$B$29,"*אפסנאות*",AN4:AN29,"בסיס")</f>
        <v/>
      </c>
      <c r="AO32" s="11">
        <f>COUNTIFS($B$4:$B$29,"*אפסנאות*",AO4:AO29,"בסיס")</f>
        <v/>
      </c>
      <c r="AP32" s="11">
        <f>COUNTIFS($B$4:$B$29,"*אפסנאות*",AP4:AP29,"בסיס")</f>
        <v/>
      </c>
      <c r="AQ32" s="11">
        <f>COUNTIFS($B$4:$B$29,"*אפסנאות*",AQ4:AQ29,"בסיס")</f>
        <v/>
      </c>
      <c r="AR32" s="11">
        <f>COUNTIFS($B$4:$B$29,"*אפסנאות*",AR4:AR29,"בסיס")</f>
        <v/>
      </c>
      <c r="AS32" s="11">
        <f>COUNTIFS($B$4:$B$29,"*אפסנאות*",AS4:AS29,"בסיס")</f>
        <v/>
      </c>
      <c r="AT32" s="11">
        <f>COUNTIFS($B$4:$B$29,"*אפסנאות*",AT4:AT29,"בסיס")</f>
        <v/>
      </c>
      <c r="AU32" s="11">
        <f>COUNTIFS($B$4:$B$29,"*אפסנאות*",AU4:AU29,"בסיס")</f>
        <v/>
      </c>
      <c r="AV32" s="11">
        <f>COUNTIFS($B$4:$B$29,"*אפסנאות*",AV4:AV29,"בסיס")</f>
        <v/>
      </c>
      <c r="AW32" s="11">
        <f>COUNTIFS($B$4:$B$29,"*אפסנאות*",AW4:AW29,"בסיס")</f>
        <v/>
      </c>
      <c r="AX32" s="11">
        <f>COUNTIFS($B$4:$B$29,"*אפסנאות*",AX4:AX29,"בסיס")</f>
        <v/>
      </c>
      <c r="AY32" s="11">
        <f>COUNTIFS($B$4:$B$29,"*אפסנאות*",AY4:AY29,"בסיס")</f>
        <v/>
      </c>
      <c r="AZ32" s="11">
        <f>COUNTIFS($B$4:$B$29,"*אפסנאות*",AZ4:AZ29,"בסיס")</f>
        <v/>
      </c>
      <c r="BA32" s="11">
        <f>COUNTIFS($B$4:$B$29,"*אפסנאות*",BA4:BA29,"בסיס")</f>
        <v/>
      </c>
      <c r="BB32" s="11">
        <f>COUNTIFS($B$4:$B$29,"*אפסנאות*",BB4:BB29,"בסיס")</f>
        <v/>
      </c>
      <c r="BC32" s="11">
        <f>COUNTIFS($B$4:$B$29,"*אפסנאות*",BC4:BC29,"בסיס")</f>
        <v/>
      </c>
      <c r="BD32" s="11">
        <f>COUNTIFS($B$4:$B$29,"*אפסנאות*",BD4:BD29,"בסיס")</f>
        <v/>
      </c>
      <c r="BE32" s="11">
        <f>COUNTIFS($B$4:$B$29,"*אפסנאות*",BE4:BE29,"בסיס")</f>
        <v/>
      </c>
      <c r="BF32" s="11">
        <f>COUNTIFS($B$4:$B$29,"*אפסנאות*",BF4:BF29,"בסיס")</f>
        <v/>
      </c>
      <c r="BG32" s="11">
        <f>COUNTIFS($B$4:$B$29,"*אפסנאות*",BG4:BG29,"בסיס")</f>
        <v/>
      </c>
      <c r="BH32" s="11">
        <f>COUNTIFS($B$4:$B$29,"*אפסנאות*",BH4:BH29,"בסיס")</f>
        <v/>
      </c>
      <c r="BI32" s="11">
        <f>COUNTIFS($B$4:$B$29,"*אפסנאות*",BI4:BI29,"בסיס")</f>
        <v/>
      </c>
      <c r="BJ32" s="11">
        <f>COUNTIFS($B$4:$B$29,"*אפסנאות*",BJ4:BJ29,"בסיס")</f>
        <v/>
      </c>
      <c r="BK32" s="11">
        <f>COUNTIFS($B$4:$B$29,"*אפסנאות*",BK4:BK29,"בסיס")</f>
        <v/>
      </c>
      <c r="BL32" s="11">
        <f>COUNTIFS($B$4:$B$29,"*אפסנאות*",BL4:BL29,"בסיס")</f>
        <v/>
      </c>
      <c r="BM32" s="11">
        <f>COUNTIFS($B$4:$B$29,"*אפסנאות*",BM4:BM29,"בסיס")</f>
        <v/>
      </c>
      <c r="BN32" s="11">
        <f>COUNTIFS($B$4:$B$29,"*אפסנאות*",BN4:BN29,"בסיס")</f>
        <v/>
      </c>
      <c r="BO32" s="11">
        <f>COUNTIFS($B$4:$B$29,"*אפסנאות*",BO4:BO29,"בסיס")</f>
        <v/>
      </c>
      <c r="BP32" s="11">
        <f>COUNTIFS($B$4:$B$29,"*אפסנאות*",BP4:BP29,"בסיס")</f>
        <v/>
      </c>
      <c r="BQ32" s="11">
        <f>COUNTIFS($B$4:$B$29,"*אפסנאות*",BQ4:BQ29,"בסיס")</f>
        <v/>
      </c>
      <c r="BR32" s="11">
        <f>COUNTIFS($B$4:$B$29,"*אפסנאות*",BR4:BR29,"בסיס")</f>
        <v/>
      </c>
      <c r="BS32" s="11">
        <f>COUNTIFS($B$4:$B$29,"*אפסנאות*",BS4:BS29,"בסיס")</f>
        <v/>
      </c>
      <c r="BT32" s="11">
        <f>COUNTIFS($B$4:$B$29,"*אפסנאות*",BT4:BT29,"בסיס")</f>
        <v/>
      </c>
      <c r="BU32" s="11">
        <f>COUNTIFS($B$4:$B$29,"*אפסנאות*",BU4:BU29,"בסיס")</f>
        <v/>
      </c>
      <c r="BV32" s="11">
        <f>COUNTIFS($B$4:$B$29,"*אפסנאות*",BV4:BV29,"בסיס")</f>
        <v/>
      </c>
      <c r="BW32" s="11">
        <f>COUNTIFS($B$4:$B$29,"*אפסנאות*",BW4:BW29,"בסיס")</f>
        <v/>
      </c>
      <c r="BX32" s="11">
        <f>COUNTIFS($B$4:$B$29,"*אפסנאות*",BX4:BX29,"בסיס")</f>
        <v/>
      </c>
      <c r="BY32" s="11">
        <f>COUNTIFS($B$4:$B$29,"*אפסנאות*",BY4:BY29,"בסיס")</f>
        <v/>
      </c>
      <c r="BZ32" s="11">
        <f>COUNTIFS($B$4:$B$29,"*אפסנאות*",BZ4:BZ29,"בסיס")</f>
        <v/>
      </c>
      <c r="CA32" s="11">
        <f>COUNTIFS($B$4:$B$29,"*אפסנאות*",CA4:CA29,"בסיס")</f>
        <v/>
      </c>
      <c r="CB32" s="11">
        <f>COUNTIFS($B$4:$B$29,"*אפסנאות*",CB4:CB29,"בסיס")</f>
        <v/>
      </c>
      <c r="CC32" s="11">
        <f>COUNTIFS($B$4:$B$29,"*אפסנאות*",CC4:CC29,"בסיס")</f>
        <v/>
      </c>
      <c r="CD32" s="11">
        <f>COUNTIFS($B$4:$B$29,"*אפסנאות*",CD4:CD29,"בסיס")</f>
        <v/>
      </c>
      <c r="CE32" s="11">
        <f>COUNTIFS($B$4:$B$29,"*אפסנאות*",CE4:CE29,"בסיס")</f>
        <v/>
      </c>
      <c r="CF32" s="11">
        <f>COUNTIFS($B$4:$B$29,"*אפסנאות*",CF4:CF29,"בסיס")</f>
        <v/>
      </c>
      <c r="CG32" s="11">
        <f>COUNTIFS($B$4:$B$29,"*אפסנאות*",CG4:CG29,"בסיס")</f>
        <v/>
      </c>
      <c r="CH32" s="11">
        <f>COUNTIFS($B$4:$B$29,"*אפסנאות*",CH4:CH29,"בסיס")</f>
        <v/>
      </c>
      <c r="CI32" s="11">
        <f>COUNTIFS($B$4:$B$29,"*אפסנאות*",CI4:CI29,"בסיס")</f>
        <v/>
      </c>
      <c r="CJ32" s="11">
        <f>COUNTIFS($B$4:$B$29,"*אפסנאות*",CJ4:CJ29,"בסיס")</f>
        <v/>
      </c>
      <c r="CK32" s="11">
        <f>COUNTIFS($B$4:$B$29,"*אפסנאות*",CK4:CK29,"בסיס")</f>
        <v/>
      </c>
      <c r="CL32" s="11">
        <f>COUNTIFS($B$4:$B$29,"*אפסנאות*",CL4:CL29,"בסיס")</f>
        <v/>
      </c>
      <c r="CM32" s="11">
        <f>COUNTIFS($B$4:$B$29,"*אפסנאות*",CM4:CM29,"בסיס")</f>
        <v/>
      </c>
      <c r="CN32" s="11">
        <f>COUNTIFS($B$4:$B$29,"*אפסנאות*",CN4:CN29,"בסיס")</f>
        <v/>
      </c>
      <c r="CO32" s="11">
        <f>COUNTIFS($B$4:$B$29,"*אפסנאות*",CO4:CO29,"בסיס")</f>
        <v/>
      </c>
      <c r="CP32" s="11">
        <f>COUNTIFS($B$4:$B$29,"*אפסנאות*",CP4:CP29,"בסיס")</f>
        <v/>
      </c>
      <c r="CQ32" s="11">
        <f>COUNTIFS($B$4:$B$29,"*אפסנאות*",CQ4:CQ29,"בסיס")</f>
        <v/>
      </c>
      <c r="CR32" s="11">
        <f>COUNTIFS($B$4:$B$29,"*אפסנאות*",CR4:CR29,"בסיס")</f>
        <v/>
      </c>
      <c r="CS32" s="11">
        <f>COUNTIFS($B$4:$B$29,"*אפסנאות*",CS4:CS29,"בסיס")</f>
        <v/>
      </c>
      <c r="CT32" s="11">
        <f>COUNTIFS($B$4:$B$29,"*אפסנאות*",CT4:CT29,"בסיס")</f>
        <v/>
      </c>
      <c r="CU32" s="11">
        <f>COUNTIFS($B$4:$B$29,"*אפסנאות*",CU4:CU29,"בסיס")</f>
        <v/>
      </c>
      <c r="CV32" s="11">
        <f>COUNTIFS($B$4:$B$29,"*אפסנאות*",CV4:CV29,"בסיס")</f>
        <v/>
      </c>
      <c r="CW32" s="11">
        <f>COUNTIFS($B$4:$B$29,"*אפסנאות*",CW4:CW29,"בסיס")</f>
        <v/>
      </c>
      <c r="CX32" s="11">
        <f>COUNTIFS($B$4:$B$29,"*אפסנאות*",CX4:CX29,"בסיס")</f>
        <v/>
      </c>
    </row>
    <row r="33">
      <c r="A33" s="10" t="inlineStr">
        <is>
          <t>סה"כ בבית</t>
        </is>
      </c>
      <c r="D33" s="11">
        <f>COUNTIF(D4:D29,"בית")</f>
        <v/>
      </c>
      <c r="E33" s="11">
        <f>COUNTIF(E4:E29,"בית")</f>
        <v/>
      </c>
      <c r="F33" s="11">
        <f>COUNTIF(F4:F29,"בית")</f>
        <v/>
      </c>
      <c r="G33" s="11">
        <f>COUNTIF(G4:G29,"בית")</f>
        <v/>
      </c>
      <c r="H33" s="11">
        <f>COUNTIF(H4:H29,"בית")</f>
        <v/>
      </c>
      <c r="I33" s="11">
        <f>COUNTIF(I4:I29,"בית")</f>
        <v/>
      </c>
      <c r="J33" s="11">
        <f>COUNTIF(J4:J29,"בית")</f>
        <v/>
      </c>
      <c r="K33" s="11">
        <f>COUNTIF(K4:K29,"בית")</f>
        <v/>
      </c>
      <c r="L33" s="11">
        <f>COUNTIF(L4:L29,"בית")</f>
        <v/>
      </c>
      <c r="M33" s="11">
        <f>COUNTIF(M4:M29,"בית")</f>
        <v/>
      </c>
      <c r="N33" s="11">
        <f>COUNTIF(N4:N29,"בית")</f>
        <v/>
      </c>
      <c r="O33" s="11">
        <f>COUNTIF(O4:O29,"בית")</f>
        <v/>
      </c>
      <c r="P33" s="11">
        <f>COUNTIF(P4:P29,"בית")</f>
        <v/>
      </c>
      <c r="Q33" s="11">
        <f>COUNTIF(Q4:Q29,"בית")</f>
        <v/>
      </c>
      <c r="R33" s="11">
        <f>COUNTIF(R4:R29,"בית")</f>
        <v/>
      </c>
      <c r="S33" s="11">
        <f>COUNTIF(S4:S29,"בית")</f>
        <v/>
      </c>
      <c r="T33" s="11">
        <f>COUNTIF(T4:T29,"בית")</f>
        <v/>
      </c>
      <c r="U33" s="11">
        <f>COUNTIF(U4:U29,"בית")</f>
        <v/>
      </c>
      <c r="V33" s="11">
        <f>COUNTIF(V4:V29,"בית")</f>
        <v/>
      </c>
      <c r="W33" s="11">
        <f>COUNTIF(W4:W29,"בית")</f>
        <v/>
      </c>
      <c r="X33" s="11">
        <f>COUNTIF(X4:X29,"בית")</f>
        <v/>
      </c>
      <c r="Y33" s="11">
        <f>COUNTIF(Y4:Y29,"בית")</f>
        <v/>
      </c>
      <c r="Z33" s="11">
        <f>COUNTIF(Z4:Z29,"בית")</f>
        <v/>
      </c>
      <c r="AA33" s="11">
        <f>COUNTIF(AA4:AA29,"בית")</f>
        <v/>
      </c>
      <c r="AB33" s="11">
        <f>COUNTIF(AB4:AB29,"בית")</f>
        <v/>
      </c>
      <c r="AC33" s="11">
        <f>COUNTIF(AC4:AC29,"בית")</f>
        <v/>
      </c>
      <c r="AD33" s="11">
        <f>COUNTIF(AD4:AD29,"בית")</f>
        <v/>
      </c>
      <c r="AE33" s="11">
        <f>COUNTIF(AE4:AE29,"בית")</f>
        <v/>
      </c>
      <c r="AF33" s="11">
        <f>COUNTIF(AF4:AF29,"בית")</f>
        <v/>
      </c>
      <c r="AG33" s="11">
        <f>COUNTIF(AG4:AG29,"בית")</f>
        <v/>
      </c>
      <c r="AH33" s="11">
        <f>COUNTIF(AH4:AH29,"בית")</f>
        <v/>
      </c>
      <c r="AI33" s="11">
        <f>COUNTIF(AI4:AI29,"בית")</f>
        <v/>
      </c>
      <c r="AJ33" s="11">
        <f>COUNTIF(AJ4:AJ29,"בית")</f>
        <v/>
      </c>
      <c r="AK33" s="11">
        <f>COUNTIF(AK4:AK29,"בית")</f>
        <v/>
      </c>
      <c r="AL33" s="11">
        <f>COUNTIF(AL4:AL29,"בית")</f>
        <v/>
      </c>
      <c r="AM33" s="11">
        <f>COUNTIF(AM4:AM29,"בית")</f>
        <v/>
      </c>
      <c r="AN33" s="11">
        <f>COUNTIF(AN4:AN29,"בית")</f>
        <v/>
      </c>
      <c r="AO33" s="11">
        <f>COUNTIF(AO4:AO29,"בית")</f>
        <v/>
      </c>
      <c r="AP33" s="11">
        <f>COUNTIF(AP4:AP29,"בית")</f>
        <v/>
      </c>
      <c r="AQ33" s="11">
        <f>COUNTIF(AQ4:AQ29,"בית")</f>
        <v/>
      </c>
      <c r="AR33" s="11">
        <f>COUNTIF(AR4:AR29,"בית")</f>
        <v/>
      </c>
      <c r="AS33" s="11">
        <f>COUNTIF(AS4:AS29,"בית")</f>
        <v/>
      </c>
      <c r="AT33" s="11">
        <f>COUNTIF(AT4:AT29,"בית")</f>
        <v/>
      </c>
      <c r="AU33" s="11">
        <f>COUNTIF(AU4:AU29,"בית")</f>
        <v/>
      </c>
      <c r="AV33" s="11">
        <f>COUNTIF(AV4:AV29,"בית")</f>
        <v/>
      </c>
      <c r="AW33" s="11">
        <f>COUNTIF(AW4:AW29,"בית")</f>
        <v/>
      </c>
      <c r="AX33" s="11">
        <f>COUNTIF(AX4:AX29,"בית")</f>
        <v/>
      </c>
      <c r="AY33" s="11">
        <f>COUNTIF(AY4:AY29,"בית")</f>
        <v/>
      </c>
      <c r="AZ33" s="11">
        <f>COUNTIF(AZ4:AZ29,"בית")</f>
        <v/>
      </c>
      <c r="BA33" s="11">
        <f>COUNTIF(BA4:BA29,"בית")</f>
        <v/>
      </c>
      <c r="BB33" s="11">
        <f>COUNTIF(BB4:BB29,"בית")</f>
        <v/>
      </c>
      <c r="BC33" s="11">
        <f>COUNTIF(BC4:BC29,"בית")</f>
        <v/>
      </c>
      <c r="BD33" s="11">
        <f>COUNTIF(BD4:BD29,"בית")</f>
        <v/>
      </c>
      <c r="BE33" s="11">
        <f>COUNTIF(BE4:BE29,"בית")</f>
        <v/>
      </c>
      <c r="BF33" s="11">
        <f>COUNTIF(BF4:BF29,"בית")</f>
        <v/>
      </c>
      <c r="BG33" s="11">
        <f>COUNTIF(BG4:BG29,"בית")</f>
        <v/>
      </c>
      <c r="BH33" s="11">
        <f>COUNTIF(BH4:BH29,"בית")</f>
        <v/>
      </c>
      <c r="BI33" s="11">
        <f>COUNTIF(BI4:BI29,"בית")</f>
        <v/>
      </c>
      <c r="BJ33" s="11">
        <f>COUNTIF(BJ4:BJ29,"בית")</f>
        <v/>
      </c>
      <c r="BK33" s="11">
        <f>COUNTIF(BK4:BK29,"בית")</f>
        <v/>
      </c>
      <c r="BL33" s="11">
        <f>COUNTIF(BL4:BL29,"בית")</f>
        <v/>
      </c>
      <c r="BM33" s="11">
        <f>COUNTIF(BM4:BM29,"בית")</f>
        <v/>
      </c>
      <c r="BN33" s="11">
        <f>COUNTIF(BN4:BN29,"בית")</f>
        <v/>
      </c>
      <c r="BO33" s="11">
        <f>COUNTIF(BO4:BO29,"בית")</f>
        <v/>
      </c>
      <c r="BP33" s="11">
        <f>COUNTIF(BP4:BP29,"בית")</f>
        <v/>
      </c>
      <c r="BQ33" s="11">
        <f>COUNTIF(BQ4:BQ29,"בית")</f>
        <v/>
      </c>
      <c r="BR33" s="11">
        <f>COUNTIF(BR4:BR29,"בית")</f>
        <v/>
      </c>
      <c r="BS33" s="11">
        <f>COUNTIF(BS4:BS29,"בית")</f>
        <v/>
      </c>
      <c r="BT33" s="11">
        <f>COUNTIF(BT4:BT29,"בית")</f>
        <v/>
      </c>
      <c r="BU33" s="11">
        <f>COUNTIF(BU4:BU29,"בית")</f>
        <v/>
      </c>
      <c r="BV33" s="11">
        <f>COUNTIF(BV4:BV29,"בית")</f>
        <v/>
      </c>
      <c r="BW33" s="11">
        <f>COUNTIF(BW4:BW29,"בית")</f>
        <v/>
      </c>
      <c r="BX33" s="11">
        <f>COUNTIF(BX4:BX29,"בית")</f>
        <v/>
      </c>
      <c r="BY33" s="11">
        <f>COUNTIF(BY4:BY29,"בית")</f>
        <v/>
      </c>
      <c r="BZ33" s="11">
        <f>COUNTIF(BZ4:BZ29,"בית")</f>
        <v/>
      </c>
      <c r="CA33" s="11">
        <f>COUNTIF(CA4:CA29,"בית")</f>
        <v/>
      </c>
      <c r="CB33" s="11">
        <f>COUNTIF(CB4:CB29,"בית")</f>
        <v/>
      </c>
      <c r="CC33" s="11">
        <f>COUNTIF(CC4:CC29,"בית")</f>
        <v/>
      </c>
      <c r="CD33" s="11">
        <f>COUNTIF(CD4:CD29,"בית")</f>
        <v/>
      </c>
      <c r="CE33" s="11">
        <f>COUNTIF(CE4:CE29,"בית")</f>
        <v/>
      </c>
      <c r="CF33" s="11">
        <f>COUNTIF(CF4:CF29,"בית")</f>
        <v/>
      </c>
      <c r="CG33" s="11">
        <f>COUNTIF(CG4:CG29,"בית")</f>
        <v/>
      </c>
      <c r="CH33" s="11">
        <f>COUNTIF(CH4:CH29,"בית")</f>
        <v/>
      </c>
      <c r="CI33" s="11">
        <f>COUNTIF(CI4:CI29,"בית")</f>
        <v/>
      </c>
      <c r="CJ33" s="11">
        <f>COUNTIF(CJ4:CJ29,"בית")</f>
        <v/>
      </c>
      <c r="CK33" s="11">
        <f>COUNTIF(CK4:CK29,"בית")</f>
        <v/>
      </c>
      <c r="CL33" s="11">
        <f>COUNTIF(CL4:CL29,"בית")</f>
        <v/>
      </c>
      <c r="CM33" s="11">
        <f>COUNTIF(CM4:CM29,"בית")</f>
        <v/>
      </c>
      <c r="CN33" s="11">
        <f>COUNTIF(CN4:CN29,"בית")</f>
        <v/>
      </c>
      <c r="CO33" s="11">
        <f>COUNTIF(CO4:CO29,"בית")</f>
        <v/>
      </c>
      <c r="CP33" s="11">
        <f>COUNTIF(CP4:CP29,"בית")</f>
        <v/>
      </c>
      <c r="CQ33" s="11">
        <f>COUNTIF(CQ4:CQ29,"בית")</f>
        <v/>
      </c>
      <c r="CR33" s="11">
        <f>COUNTIF(CR4:CR29,"בית")</f>
        <v/>
      </c>
      <c r="CS33" s="11">
        <f>COUNTIF(CS4:CS29,"בית")</f>
        <v/>
      </c>
      <c r="CT33" s="11">
        <f>COUNTIF(CT4:CT29,"בית")</f>
        <v/>
      </c>
      <c r="CU33" s="11">
        <f>COUNTIF(CU4:CU29,"בית")</f>
        <v/>
      </c>
      <c r="CV33" s="11">
        <f>COUNTIF(CV4:CV29,"בית")</f>
        <v/>
      </c>
      <c r="CW33" s="11">
        <f>COUNTIF(CW4:CW29,"בית")</f>
        <v/>
      </c>
      <c r="CX33" s="11">
        <f>COUNTIF(CX4:CX29,"בית")</f>
        <v/>
      </c>
    </row>
    <row r="35" hidden="1">
      <c r="A35" t="inlineStr">
        <is>
          <t>[דגל שבת]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</row>
    <row r="36" hidden="1">
      <c r="A36" t="inlineStr">
        <is>
          <t>[דגל חג]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1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1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</row>
    <row r="37">
      <c r="A37" s="12" t="inlineStr">
        <is>
          <t>הגדרות מצבה (ניתן לעריכה):</t>
        </is>
      </c>
    </row>
    <row r="38">
      <c r="A38" s="13" t="inlineStr">
        <is>
          <t>מינימום בבסיס</t>
        </is>
      </c>
      <c r="B38" s="4" t="n">
        <v>12</v>
      </c>
    </row>
    <row r="39">
      <c r="A39" s="13" t="inlineStr">
        <is>
          <t>מינימום נשקייה</t>
        </is>
      </c>
      <c r="B39" s="4" t="n">
        <v>2</v>
      </c>
    </row>
    <row r="40">
      <c r="A40" s="13" t="inlineStr">
        <is>
          <t>מינימום אפסנאות</t>
        </is>
      </c>
      <c r="B40" s="4" t="n">
        <v>2</v>
      </c>
    </row>
  </sheetData>
  <mergeCells count="9">
    <mergeCell ref="BU2:CX2"/>
    <mergeCell ref="A33:C33"/>
    <mergeCell ref="A1:DB1"/>
    <mergeCell ref="A32:C32"/>
    <mergeCell ref="K2:AO2"/>
    <mergeCell ref="A31:C31"/>
    <mergeCell ref="AP2:BT2"/>
    <mergeCell ref="A30:C30"/>
    <mergeCell ref="D2:J2"/>
  </mergeCells>
  <conditionalFormatting sqref="D30:CX30">
    <cfRule type="cellIs" priority="1" operator="lessThan" dxfId="0">
      <formula>$B$38</formula>
    </cfRule>
  </conditionalFormatting>
  <conditionalFormatting sqref="D31:CX31">
    <cfRule type="cellIs" priority="2" operator="lessThan" dxfId="0">
      <formula>$B$39</formula>
    </cfRule>
  </conditionalFormatting>
  <conditionalFormatting sqref="D32:CX32">
    <cfRule type="cellIs" priority="3" operator="lessThan" dxfId="0">
      <formula>$B$40</formula>
    </cfRule>
  </conditionalFormatting>
  <conditionalFormatting sqref="D4:CX29">
    <cfRule type="cellIs" priority="4" operator="equal" dxfId="1">
      <formula>"בסיס"</formula>
    </cfRule>
    <cfRule type="cellIs" priority="5" operator="equal" dxfId="2">
      <formula>"בית"</formula>
    </cfRule>
    <cfRule type="cellIs" priority="6" operator="equal" dxfId="3">
      <formula>"חופשה"</formula>
    </cfRule>
    <cfRule type="cellIs" priority="7" operator="equal" dxfId="4">
      <formula>"גימלים"</formula>
    </cfRule>
    <cfRule type="cellIs" priority="8" operator="equal" dxfId="5">
      <formula>"קורס"</formula>
    </cfRule>
    <cfRule type="cellIs" priority="9" operator="equal" dxfId="6">
      <formula>"ת״ש"</formula>
    </cfRule>
  </conditionalFormatting>
  <conditionalFormatting sqref="DA4:DA29">
    <cfRule type="colorScale" priority="10">
      <colorScale>
        <cfvo type="min"/>
        <cfvo type="percentile" val="50"/>
        <cfvo type="max"/>
        <color rgb="00C6EFCE"/>
        <color rgb="00FFEB9C"/>
        <color rgb="00FFC7CE"/>
      </colorScale>
    </cfRule>
  </conditionalFormatting>
  <dataValidations count="1">
    <dataValidation sqref="D4:CX29" showDropDown="0" showInputMessage="0" showErrorMessage="0" allowBlank="1" type="list">
      <formula1>"בסיס,בית,חופשה,גימלים,קורס,ת״ש"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B1" s="14" t="inlineStr">
        <is>
          <t>מקרא - שבצק יציאות</t>
        </is>
      </c>
    </row>
    <row r="3">
      <c r="B3" s="12" t="inlineStr">
        <is>
          <t>כותרת תאריך:</t>
        </is>
      </c>
    </row>
    <row r="4">
      <c r="A4" s="15" t="n"/>
      <c r="B4" s="16" t="inlineStr">
        <is>
          <t>שבת / ערב שבת</t>
        </is>
      </c>
    </row>
    <row r="5">
      <c r="A5" s="17" t="n"/>
      <c r="B5" s="16" t="inlineStr">
        <is>
          <t>חג</t>
        </is>
      </c>
    </row>
    <row r="6">
      <c r="B6" s="12" t="inlineStr">
        <is>
          <t>סטטוס תא:</t>
        </is>
      </c>
    </row>
    <row r="7">
      <c r="A7" s="18" t="n"/>
      <c r="B7" s="16" t="inlineStr">
        <is>
          <t>בסיס</t>
        </is>
      </c>
    </row>
    <row r="8">
      <c r="A8" s="19" t="n"/>
      <c r="B8" s="16" t="inlineStr">
        <is>
          <t>בית</t>
        </is>
      </c>
    </row>
    <row r="9">
      <c r="A9" s="20" t="n"/>
      <c r="B9" s="16" t="inlineStr">
        <is>
          <t>חופשה</t>
        </is>
      </c>
    </row>
    <row r="10">
      <c r="A10" s="21" t="n"/>
      <c r="B10" s="16" t="inlineStr">
        <is>
          <t>גימלים</t>
        </is>
      </c>
    </row>
    <row r="11">
      <c r="A11" s="22" t="n"/>
      <c r="B11" s="16" t="inlineStr">
        <is>
          <t>קורס</t>
        </is>
      </c>
    </row>
    <row r="12">
      <c r="A12" s="23" t="n"/>
      <c r="B12" s="16" t="inlineStr">
        <is>
          <t>ת״ש</t>
        </is>
      </c>
    </row>
    <row r="13">
      <c r="B13" s="12" t="inlineStr">
        <is>
          <t>התראות:</t>
        </is>
      </c>
    </row>
    <row r="14">
      <c r="A14" s="24" t="n"/>
      <c r="B14" s="16" t="inlineStr">
        <is>
          <t>מתחת לסף מצבה (אדום אוטומטי)</t>
        </is>
      </c>
    </row>
    <row r="16">
      <c r="B16" s="16" t="inlineStr">
        <is>
          <t>ספי המצבה נקבעים בגיליון השבצק בבלוק "הגדרות מצבה".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26" customWidth="1" min="5" max="5"/>
    <col width="32" customWidth="1" min="6" max="6"/>
  </cols>
  <sheetData>
    <row r="1">
      <c r="A1" s="1" t="inlineStr">
        <is>
          <t>שיחות אישיות עם חיילים</t>
        </is>
      </c>
    </row>
    <row r="2">
      <c r="A2" s="2" t="inlineStr">
        <is>
          <t>שם</t>
        </is>
      </c>
      <c r="B2" s="2" t="inlineStr">
        <is>
          <t>תפקיד</t>
        </is>
      </c>
      <c r="C2" s="2" t="inlineStr">
        <is>
          <t>שוחחת?</t>
        </is>
      </c>
      <c r="D2" s="2" t="inlineStr">
        <is>
          <t>תאריך שיחה</t>
        </is>
      </c>
      <c r="E2" s="2" t="inlineStr">
        <is>
          <t>נושא</t>
        </is>
      </c>
      <c r="F2" s="2" t="inlineStr">
        <is>
          <t>הערות</t>
        </is>
      </c>
    </row>
    <row r="3">
      <c r="A3" s="6" t="inlineStr">
        <is>
          <t>איתי עוזיאל</t>
        </is>
      </c>
      <c r="B3" s="7" t="inlineStr">
        <is>
          <t>קלג</t>
        </is>
      </c>
      <c r="C3" s="9" t="n"/>
      <c r="D3" s="9" t="n"/>
      <c r="E3" s="9" t="n"/>
      <c r="F3" s="9" t="n"/>
    </row>
    <row r="4">
      <c r="A4" s="6" t="inlineStr">
        <is>
          <t>אורי עוזיאל</t>
        </is>
      </c>
      <c r="B4" s="7" t="inlineStr">
        <is>
          <t>סמל נשקייה</t>
        </is>
      </c>
      <c r="C4" s="9" t="n"/>
      <c r="D4" s="9" t="n"/>
      <c r="E4" s="9" t="n"/>
      <c r="F4" s="9" t="n"/>
    </row>
    <row r="5">
      <c r="A5" s="6" t="inlineStr">
        <is>
          <t>ינון איזון</t>
        </is>
      </c>
      <c r="B5" s="7" t="inlineStr">
        <is>
          <t>נשקייה</t>
        </is>
      </c>
      <c r="C5" s="9" t="n"/>
      <c r="D5" s="9" t="n"/>
      <c r="E5" s="9" t="n"/>
      <c r="F5" s="9" t="n"/>
    </row>
    <row r="6">
      <c r="A6" s="6" t="inlineStr">
        <is>
          <t>שי ארנלדס</t>
        </is>
      </c>
      <c r="B6" s="7" t="inlineStr">
        <is>
          <t>נשקייה</t>
        </is>
      </c>
      <c r="C6" s="9" t="n"/>
      <c r="D6" s="9" t="n"/>
      <c r="E6" s="9" t="n"/>
      <c r="F6" s="9" t="n"/>
    </row>
    <row r="7">
      <c r="A7" s="6" t="inlineStr">
        <is>
          <t>איתי שמש</t>
        </is>
      </c>
      <c r="B7" s="7" t="inlineStr">
        <is>
          <t>נשקייה</t>
        </is>
      </c>
      <c r="C7" s="9" t="n"/>
      <c r="D7" s="9" t="n"/>
      <c r="E7" s="9" t="n"/>
      <c r="F7" s="9" t="n"/>
    </row>
    <row r="8">
      <c r="A8" s="6" t="inlineStr">
        <is>
          <t>אביעד כהן</t>
        </is>
      </c>
      <c r="B8" s="7" t="inlineStr">
        <is>
          <t>נשקייה</t>
        </is>
      </c>
      <c r="C8" s="9" t="n"/>
      <c r="D8" s="9" t="n"/>
      <c r="E8" s="9" t="n"/>
      <c r="F8" s="9" t="n"/>
    </row>
    <row r="9">
      <c r="A9" s="6" t="inlineStr">
        <is>
          <t>אזוגי נתנאל</t>
        </is>
      </c>
      <c r="B9" s="7" t="inlineStr">
        <is>
          <t>אפסנאות</t>
        </is>
      </c>
      <c r="C9" s="9" t="n"/>
      <c r="D9" s="9" t="n"/>
      <c r="E9" s="9" t="n"/>
      <c r="F9" s="9" t="n"/>
    </row>
    <row r="10">
      <c r="A10" s="6" t="inlineStr">
        <is>
          <t>ניב סורוקר</t>
        </is>
      </c>
      <c r="B10" s="7" t="inlineStr">
        <is>
          <t>אפסנאות</t>
        </is>
      </c>
      <c r="C10" s="9" t="n"/>
      <c r="D10" s="9" t="n"/>
      <c r="E10" s="9" t="n"/>
      <c r="F10" s="9" t="n"/>
    </row>
    <row r="11">
      <c r="A11" s="6" t="inlineStr">
        <is>
          <t>צבי לונדין</t>
        </is>
      </c>
      <c r="B11" s="7" t="inlineStr">
        <is>
          <t>אפסנאות</t>
        </is>
      </c>
      <c r="C11" s="9" t="n"/>
      <c r="D11" s="9" t="n"/>
      <c r="E11" s="9" t="n"/>
      <c r="F11" s="9" t="n"/>
    </row>
    <row r="12">
      <c r="A12" s="6" t="inlineStr">
        <is>
          <t>יוסף חגואל</t>
        </is>
      </c>
      <c r="B12" s="7" t="inlineStr">
        <is>
          <t>נשקייה</t>
        </is>
      </c>
      <c r="C12" s="9" t="n"/>
      <c r="D12" s="9" t="n"/>
      <c r="E12" s="9" t="n"/>
      <c r="F12" s="9" t="n"/>
    </row>
    <row r="13">
      <c r="A13" s="6" t="inlineStr">
        <is>
          <t>אדם ממן</t>
        </is>
      </c>
      <c r="B13" s="7" t="inlineStr">
        <is>
          <t>סמל אפסנאות</t>
        </is>
      </c>
      <c r="C13" s="9" t="n"/>
      <c r="D13" s="9" t="n"/>
      <c r="E13" s="9" t="n"/>
      <c r="F13" s="9" t="n"/>
    </row>
    <row r="14">
      <c r="A14" s="6" t="inlineStr">
        <is>
          <t>גבריאל יעקוביאן</t>
        </is>
      </c>
      <c r="B14" s="7" t="inlineStr">
        <is>
          <t>נשקייה</t>
        </is>
      </c>
      <c r="C14" s="9" t="n"/>
      <c r="D14" s="9" t="n"/>
      <c r="E14" s="9" t="n"/>
      <c r="F14" s="9" t="n"/>
    </row>
    <row r="15">
      <c r="A15" s="6" t="inlineStr">
        <is>
          <t>יקיר אלימלך</t>
        </is>
      </c>
      <c r="B15" s="7" t="inlineStr">
        <is>
          <t>אפסנאות</t>
        </is>
      </c>
      <c r="C15" s="9" t="n"/>
      <c r="D15" s="9" t="n"/>
      <c r="E15" s="9" t="n"/>
      <c r="F15" s="9" t="n"/>
    </row>
    <row r="16">
      <c r="A16" s="6" t="inlineStr">
        <is>
          <t>יוסי כהן</t>
        </is>
      </c>
      <c r="B16" s="7" t="inlineStr">
        <is>
          <t>נשקייה-רחפנים</t>
        </is>
      </c>
      <c r="C16" s="9" t="n"/>
      <c r="D16" s="9" t="n"/>
      <c r="E16" s="9" t="n"/>
      <c r="F16" s="9" t="n"/>
    </row>
    <row r="17">
      <c r="A17" s="6" t="inlineStr">
        <is>
          <t>רון בן שושן</t>
        </is>
      </c>
      <c r="B17" s="7" t="inlineStr"/>
      <c r="C17" s="9" t="n"/>
      <c r="D17" s="9" t="n"/>
      <c r="E17" s="9" t="n"/>
      <c r="F17" s="9" t="n"/>
    </row>
    <row r="18">
      <c r="A18" s="6" t="inlineStr">
        <is>
          <t>דוד שמחי</t>
        </is>
      </c>
      <c r="B18" s="7" t="inlineStr"/>
      <c r="C18" s="9" t="n"/>
      <c r="D18" s="9" t="n"/>
      <c r="E18" s="9" t="n"/>
      <c r="F18" s="9" t="n"/>
    </row>
    <row r="19">
      <c r="A19" s="6" t="inlineStr">
        <is>
          <t>לב גינזבורג</t>
        </is>
      </c>
      <c r="B19" s="7" t="inlineStr">
        <is>
          <t>נשקייה</t>
        </is>
      </c>
      <c r="C19" s="9" t="n"/>
      <c r="D19" s="9" t="n"/>
      <c r="E19" s="9" t="n"/>
      <c r="F19" s="9" t="n"/>
    </row>
    <row r="20">
      <c r="A20" s="6" t="inlineStr">
        <is>
          <t>יעקב גרמאי</t>
        </is>
      </c>
      <c r="B20" s="7" t="inlineStr">
        <is>
          <t>אפסנאות</t>
        </is>
      </c>
      <c r="C20" s="9" t="n"/>
      <c r="D20" s="9" t="n"/>
      <c r="E20" s="9" t="n"/>
      <c r="F20" s="9" t="n"/>
    </row>
    <row r="21">
      <c r="A21" s="6" t="inlineStr">
        <is>
          <t>עידן אשטון</t>
        </is>
      </c>
      <c r="B21" s="7" t="inlineStr">
        <is>
          <t>אפסנאות</t>
        </is>
      </c>
      <c r="C21" s="9" t="n"/>
      <c r="D21" s="9" t="n"/>
      <c r="E21" s="9" t="n"/>
      <c r="F21" s="9" t="n"/>
    </row>
    <row r="22">
      <c r="A22" s="6" t="inlineStr">
        <is>
          <t>עומר נוימן</t>
        </is>
      </c>
      <c r="B22" s="7" t="inlineStr"/>
      <c r="C22" s="9" t="n"/>
      <c r="D22" s="9" t="n"/>
      <c r="E22" s="9" t="n"/>
      <c r="F22" s="9" t="n"/>
    </row>
    <row r="23">
      <c r="A23" s="6" t="inlineStr">
        <is>
          <t>דוד עבאדה</t>
        </is>
      </c>
      <c r="B23" s="7" t="inlineStr">
        <is>
          <t>אפסנאות</t>
        </is>
      </c>
      <c r="C23" s="9" t="n"/>
      <c r="D23" s="9" t="n"/>
      <c r="E23" s="9" t="n"/>
      <c r="F23" s="9" t="n"/>
    </row>
    <row r="24">
      <c r="A24" s="6" t="inlineStr">
        <is>
          <t>אוראל קקון</t>
        </is>
      </c>
      <c r="B24" s="7" t="inlineStr"/>
      <c r="C24" s="9" t="n"/>
      <c r="D24" s="9" t="n"/>
      <c r="E24" s="9" t="n"/>
      <c r="F24" s="9" t="n"/>
    </row>
    <row r="25">
      <c r="A25" s="6" t="inlineStr">
        <is>
          <t>אלחנן טירי</t>
        </is>
      </c>
      <c r="B25" s="7" t="inlineStr"/>
      <c r="C25" s="9" t="n"/>
      <c r="D25" s="9" t="n"/>
      <c r="E25" s="9" t="n"/>
      <c r="F25" s="9" t="n"/>
    </row>
    <row r="26">
      <c r="A26" s="6" t="inlineStr">
        <is>
          <t>ארמיאס בלאציאו</t>
        </is>
      </c>
      <c r="B26" s="7" t="inlineStr"/>
      <c r="C26" s="9" t="n"/>
      <c r="D26" s="9" t="n"/>
      <c r="E26" s="9" t="n"/>
      <c r="F26" s="9" t="n"/>
    </row>
    <row r="27">
      <c r="A27" s="6" t="inlineStr">
        <is>
          <t>משה אברהם</t>
        </is>
      </c>
      <c r="B27" s="7" t="inlineStr"/>
      <c r="C27" s="9" t="n"/>
      <c r="D27" s="9" t="n"/>
      <c r="E27" s="9" t="n"/>
      <c r="F27" s="9" t="n"/>
    </row>
    <row r="28">
      <c r="A28" s="6" t="inlineStr">
        <is>
          <t>רון אוסטפוב</t>
        </is>
      </c>
      <c r="B28" s="7" t="inlineStr"/>
      <c r="C28" s="9" t="n"/>
      <c r="D28" s="9" t="n"/>
      <c r="E28" s="9" t="n"/>
      <c r="F28" s="9" t="n"/>
    </row>
    <row r="30">
      <c r="A30" s="12" t="inlineStr">
        <is>
          <t>סה"כ שוחחו:</t>
        </is>
      </c>
      <c r="B30" s="25">
        <f>COUNTIF(C3:C28,"כן")</f>
        <v/>
      </c>
    </row>
    <row r="31">
      <c r="A31" s="12" t="inlineStr">
        <is>
          <t>נותרו לשיחה:</t>
        </is>
      </c>
      <c r="B31" s="25">
        <f>COUNTIF(C3:C28,"לא")</f>
        <v/>
      </c>
    </row>
  </sheetData>
  <mergeCells count="1">
    <mergeCell ref="A1:F1"/>
  </mergeCells>
  <conditionalFormatting sqref="C3:C28">
    <cfRule type="cellIs" priority="1" operator="equal" dxfId="2">
      <formula>"כן"</formula>
    </cfRule>
    <cfRule type="cellIs" priority="2" operator="equal" dxfId="4">
      <formula>"לא"</formula>
    </cfRule>
  </conditionalFormatting>
  <dataValidations count="1">
    <dataValidation sqref="C3:C28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2026-05-27T12:31:31Z</dcterms:created>
  <dcterms:modified xsi:type="dcterms:W3CDTF">2026-05-27T12:31:31Z</dcterms:modified>
</cp:coreProperties>
</file>