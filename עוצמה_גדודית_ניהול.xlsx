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שבורד" sheetId="1" state="visible" r:id="rId1"/>
    <sheet name="טבלת ניהול" sheetId="2" state="visible" r:id="rId2"/>
    <sheet name="סיכום קטגוריה" sheetId="3" state="visible" r:id="rId3"/>
    <sheet name="פילוח פלוגה" sheetId="4" state="visible" r:id="rId4"/>
    <sheet name="מקרא והוראות" sheetId="5" state="visible" r:id="rId5"/>
    <sheet name="רשימות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  <font>
      <b val="1"/>
      <color rgb="00FFFFFF"/>
      <sz val="20"/>
    </font>
    <font>
      <i val="1"/>
      <color rgb="00595959"/>
      <sz val="10"/>
    </font>
    <font>
      <b val="1"/>
      <color rgb="008EAADB"/>
      <sz val="22"/>
    </font>
    <font>
      <b val="1"/>
      <color rgb="00C00000"/>
      <sz val="22"/>
    </font>
    <font>
      <b val="1"/>
      <color rgb="00BF8F00"/>
      <sz val="22"/>
    </font>
    <font>
      <b val="1"/>
      <color rgb="00375623"/>
      <sz val="22"/>
    </font>
    <font>
      <b val="1"/>
      <color rgb="00808080"/>
      <sz val="22"/>
    </font>
    <font>
      <b val="1"/>
      <color rgb="00FFFFFF"/>
      <sz val="12"/>
    </font>
    <font>
      <b val="1"/>
      <color rgb="00C00000"/>
    </font>
    <font>
      <b val="1"/>
      <color rgb="00BF8F00"/>
    </font>
    <font>
      <b val="1"/>
      <color rgb="00FFFFFF"/>
      <sz val="13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8EAADB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375623"/>
      </patternFill>
    </fill>
    <fill>
      <patternFill patternType="solid">
        <fgColor rgb="00808080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5496"/>
      </patternFill>
    </fill>
    <fill>
      <patternFill patternType="solid">
        <fgColor rgb="00C6EFCE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 indent="1"/>
    </xf>
    <xf numFmtId="0" fontId="11" fillId="6" borderId="0" applyAlignment="1" pivotButton="0" quotePrefix="0" xfId="0">
      <alignment horizontal="right" vertical="center" inden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 wrapText="1"/>
    </xf>
    <xf numFmtId="9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right" vertical="center" wrapText="1"/>
    </xf>
    <xf numFmtId="0" fontId="15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 wrapText="1"/>
    </xf>
    <xf numFmtId="0" fontId="3" fillId="9" borderId="2" applyAlignment="1" pivotButton="0" quotePrefix="0" xfId="0">
      <alignment horizontal="right" vertical="center" wrapText="1"/>
    </xf>
    <xf numFmtId="0" fontId="3" fillId="10" borderId="2" applyAlignment="1" pivotButton="0" quotePrefix="0" xfId="0">
      <alignment horizontal="right" vertical="center" wrapText="1"/>
    </xf>
    <xf numFmtId="0" fontId="3" fillId="12" borderId="2" applyAlignment="1" pivotButton="0" quotePrefix="0" xfId="0">
      <alignment horizontal="right" vertical="center" wrapText="1"/>
    </xf>
    <xf numFmtId="0" fontId="3" fillId="13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8">
    <dxf>
      <fill>
        <patternFill patternType="solid">
          <fgColor rgb="00FCE4E6"/>
        </patternFill>
      </fill>
    </dxf>
    <dxf>
      <fill>
        <patternFill patternType="solid">
          <fgColor rgb="00FFF6DA"/>
        </patternFill>
      </fill>
    </dxf>
    <dxf>
      <fill>
        <patternFill patternType="solid">
          <fgColor rgb="00EBF4E6"/>
        </patternFill>
      </fill>
    </dxf>
    <dxf>
      <fill>
        <patternFill patternType="solid">
          <fgColor rgb="00F2F2F2"/>
        </patternFill>
      </fill>
    </dxf>
    <dxf>
      <font>
        <b val="1"/>
        <color rgb="00C00000"/>
      </font>
      <fill>
        <patternFill patternType="solid">
          <fgColor rgb="00FFC7CE"/>
        </patternFill>
      </fill>
    </dxf>
    <dxf>
      <font>
        <b val="1"/>
        <color rgb="00BF8F00"/>
      </font>
      <fill>
        <patternFill patternType="solid">
          <fgColor rgb="00FFEB9C"/>
        </patternFill>
      </fill>
    </dxf>
    <dxf>
      <font>
        <b val="1"/>
        <color rgb="00375623"/>
      </font>
      <fill>
        <patternFill patternType="solid">
          <fgColor rgb="00C6EFCE"/>
        </patternFill>
      </fill>
    </dxf>
    <dxf>
      <font>
        <b val="1"/>
        <color rgb="0080808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Otzma" displayName="Otzma" ref="A2:Q65" headerRowCount="1">
  <autoFilter ref="A2:Q65"/>
  <tableColumns count="17">
    <tableColumn id="1" name="קטגוריה"/>
    <tableColumn id="2" name="אמצעי"/>
    <tableColumn id="3" name="פלוגה א"/>
    <tableColumn id="4" name="פלוגה ב"/>
    <tableColumn id="5" name="פלוגה ג"/>
    <tableColumn id="6" name="מסייעת"/>
    <tableColumn id="7" name="פתן"/>
    <tableColumn id="8" name="חפק"/>
    <tableColumn id="9" name="מפקדה"/>
    <tableColumn id="10" name="מלאי"/>
    <tableColumn id="11" name="סך הכל"/>
    <tableColumn id="12" name="מצאי"/>
    <tableColumn id="13" name="פער"/>
    <tableColumn id="14" name="אחוז מימוש"/>
    <tableColumn id="15" name="סטטוס"/>
    <tableColumn id="16" name="הערות"/>
    <tableColumn id="17" name="מפתח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hidden="1" width="13" customWidth="1" min="20" max="20"/>
  </cols>
  <sheetData>
    <row r="1" ht="40" customHeight="1">
      <c r="A1" s="1" t="inlineStr">
        <is>
          <t>עוצמה גדודית — לוח בקרה חי</t>
        </is>
      </c>
    </row>
    <row r="2">
      <c r="A2" s="2" t="inlineStr">
        <is>
          <t>כל המספרים מחושבים אוטומטית מלשונית "טבלת ניהול" — שנה שם, והכול כאן יתעדכן</t>
        </is>
      </c>
      <c r="T2">
        <f>IFERROR(SMALL(Otzma[מפתח],1),"")</f>
        <v/>
      </c>
    </row>
    <row r="3">
      <c r="T3">
        <f>IFERROR(SMALL(Otzma[מפתח],2),"")</f>
        <v/>
      </c>
    </row>
    <row r="4" ht="24" customHeight="1">
      <c r="A4" s="3" t="inlineStr">
        <is>
          <t>סך פריטים</t>
        </is>
      </c>
      <c r="B4" s="4" t="inlineStr">
        <is>
          <t>חוסרים</t>
        </is>
      </c>
      <c r="C4" s="5" t="inlineStr">
        <is>
          <t>עודפים</t>
        </is>
      </c>
      <c r="D4" s="6" t="inlineStr">
        <is>
          <t>תקין</t>
        </is>
      </c>
      <c r="E4" s="7" t="inlineStr">
        <is>
          <t>ללא מצאי</t>
        </is>
      </c>
      <c r="F4" s="4" t="inlineStr">
        <is>
          <t>יח' חסרות</t>
        </is>
      </c>
      <c r="G4" s="5" t="inlineStr">
        <is>
          <t>יח' עודפות</t>
        </is>
      </c>
      <c r="T4">
        <f>IFERROR(SMALL(Otzma[מפתח],3),"")</f>
        <v/>
      </c>
    </row>
    <row r="5" ht="30" customHeight="1">
      <c r="A5" s="8">
        <f>COUNTA(Otzma[אמצעי])</f>
        <v/>
      </c>
      <c r="B5" s="9">
        <f>COUNTIF(Otzma[סטטוס],"חוסר")</f>
        <v/>
      </c>
      <c r="C5" s="10">
        <f>COUNTIF(Otzma[סטטוס],"עודף")</f>
        <v/>
      </c>
      <c r="D5" s="11">
        <f>COUNTIF(Otzma[סטטוס],"תקין")</f>
        <v/>
      </c>
      <c r="E5" s="12">
        <f>COUNTIF(Otzma[סטטוס],"אין מצאי")</f>
        <v/>
      </c>
      <c r="F5" s="9">
        <f>-SUMIF(Otzma[פער],"&lt;0")</f>
        <v/>
      </c>
      <c r="G5" s="10">
        <f>SUMIF(Otzma[פער],"&gt;0")</f>
        <v/>
      </c>
      <c r="T5">
        <f>IFERROR(SMALL(Otzma[מפתח],4),"")</f>
        <v/>
      </c>
    </row>
    <row r="6" ht="16" customHeight="1">
      <c r="T6">
        <f>IFERROR(SMALL(Otzma[מפתח],5),"")</f>
        <v/>
      </c>
    </row>
    <row r="7">
      <c r="T7">
        <f>IFERROR(SMALL(Otzma[מפתח],6),"")</f>
        <v/>
      </c>
    </row>
    <row r="8" ht="24" customHeight="1">
      <c r="A8" s="13" t="inlineStr">
        <is>
          <t>חוסרים מובילים (מתעדכן)</t>
        </is>
      </c>
      <c r="E8" s="14" t="inlineStr">
        <is>
          <t>עודפים מובילים (מתעדכן)</t>
        </is>
      </c>
      <c r="T8">
        <f>IFERROR(SMALL(Otzma[מפתח],7),"")</f>
        <v/>
      </c>
    </row>
    <row r="9">
      <c r="A9" s="15" t="inlineStr">
        <is>
          <t>אמצעי</t>
        </is>
      </c>
      <c r="B9" s="15" t="inlineStr">
        <is>
          <t>סך הכל</t>
        </is>
      </c>
      <c r="C9" s="15" t="inlineStr">
        <is>
          <t>מצאי</t>
        </is>
      </c>
      <c r="D9" s="15" t="inlineStr">
        <is>
          <t>פער</t>
        </is>
      </c>
      <c r="E9" s="15" t="inlineStr">
        <is>
          <t>אמצעי</t>
        </is>
      </c>
      <c r="F9" s="15" t="inlineStr">
        <is>
          <t>סך הכל</t>
        </is>
      </c>
      <c r="G9" s="15" t="inlineStr">
        <is>
          <t>מצאי</t>
        </is>
      </c>
      <c r="H9" s="15" t="inlineStr">
        <is>
          <t>פער</t>
        </is>
      </c>
      <c r="T9">
        <f>IFERROR(SMALL(Otzma[מפתח],8),"")</f>
        <v/>
      </c>
    </row>
    <row r="10">
      <c r="A10" s="16">
        <f>IFERROR(INDEX(Otzma[אמצעי],MATCH($T$2,Otzma[מפתח],0)),"")</f>
        <v/>
      </c>
      <c r="B10" s="17">
        <f>IFERROR(INDEX(Otzma[סך הכל],MATCH($T$2,Otzma[מפתח],0)),"")</f>
        <v/>
      </c>
      <c r="C10" s="17">
        <f>IFERROR(INDEX(Otzma[מצאי],MATCH($T$2,Otzma[מפתח],0)),"")</f>
        <v/>
      </c>
      <c r="D10" s="18">
        <f>IFERROR(INDEX(Otzma[פער],MATCH($T$2,Otzma[מפתח],0)),"")</f>
        <v/>
      </c>
      <c r="E10" s="16">
        <f>IFERROR(INDEX(Otzma[אמצעי],MATCH($T$20,Otzma[מפתח],0)),"")</f>
        <v/>
      </c>
      <c r="F10" s="17">
        <f>IFERROR(INDEX(Otzma[סך הכל],MATCH($T$20,Otzma[מפתח],0)),"")</f>
        <v/>
      </c>
      <c r="G10" s="17">
        <f>IFERROR(INDEX(Otzma[מצאי],MATCH($T$20,Otzma[מפתח],0)),"")</f>
        <v/>
      </c>
      <c r="H10" s="19">
        <f>IFERROR(INDEX(Otzma[פער],MATCH($T$20,Otzma[מפתח],0)),"")</f>
        <v/>
      </c>
      <c r="T10">
        <f>IFERROR(SMALL(Otzma[מפתח],9),"")</f>
        <v/>
      </c>
    </row>
    <row r="11">
      <c r="A11" s="16">
        <f>IFERROR(INDEX(Otzma[אמצעי],MATCH($T$3,Otzma[מפתח],0)),"")</f>
        <v/>
      </c>
      <c r="B11" s="17">
        <f>IFERROR(INDEX(Otzma[סך הכל],MATCH($T$3,Otzma[מפתח],0)),"")</f>
        <v/>
      </c>
      <c r="C11" s="17">
        <f>IFERROR(INDEX(Otzma[מצאי],MATCH($T$3,Otzma[מפתח],0)),"")</f>
        <v/>
      </c>
      <c r="D11" s="18">
        <f>IFERROR(INDEX(Otzma[פער],MATCH($T$3,Otzma[מפתח],0)),"")</f>
        <v/>
      </c>
      <c r="E11" s="16">
        <f>IFERROR(INDEX(Otzma[אמצעי],MATCH($T$21,Otzma[מפתח],0)),"")</f>
        <v/>
      </c>
      <c r="F11" s="17">
        <f>IFERROR(INDEX(Otzma[סך הכל],MATCH($T$21,Otzma[מפתח],0)),"")</f>
        <v/>
      </c>
      <c r="G11" s="17">
        <f>IFERROR(INDEX(Otzma[מצאי],MATCH($T$21,Otzma[מפתח],0)),"")</f>
        <v/>
      </c>
      <c r="H11" s="19">
        <f>IFERROR(INDEX(Otzma[פער],MATCH($T$21,Otzma[מפתח],0)),"")</f>
        <v/>
      </c>
      <c r="T11">
        <f>IFERROR(SMALL(Otzma[מפתח],10),"")</f>
        <v/>
      </c>
    </row>
    <row r="12">
      <c r="A12" s="16">
        <f>IFERROR(INDEX(Otzma[אמצעי],MATCH($T$4,Otzma[מפתח],0)),"")</f>
        <v/>
      </c>
      <c r="B12" s="17">
        <f>IFERROR(INDEX(Otzma[סך הכל],MATCH($T$4,Otzma[מפתח],0)),"")</f>
        <v/>
      </c>
      <c r="C12" s="17">
        <f>IFERROR(INDEX(Otzma[מצאי],MATCH($T$4,Otzma[מפתח],0)),"")</f>
        <v/>
      </c>
      <c r="D12" s="18">
        <f>IFERROR(INDEX(Otzma[פער],MATCH($T$4,Otzma[מפתח],0)),"")</f>
        <v/>
      </c>
      <c r="E12" s="16">
        <f>IFERROR(INDEX(Otzma[אמצעי],MATCH($T$22,Otzma[מפתח],0)),"")</f>
        <v/>
      </c>
      <c r="F12" s="17">
        <f>IFERROR(INDEX(Otzma[סך הכל],MATCH($T$22,Otzma[מפתח],0)),"")</f>
        <v/>
      </c>
      <c r="G12" s="17">
        <f>IFERROR(INDEX(Otzma[מצאי],MATCH($T$22,Otzma[מפתח],0)),"")</f>
        <v/>
      </c>
      <c r="H12" s="19">
        <f>IFERROR(INDEX(Otzma[פער],MATCH($T$22,Otzma[מפתח],0)),"")</f>
        <v/>
      </c>
      <c r="T12">
        <f>IFERROR(SMALL(Otzma[מפתח],11),"")</f>
        <v/>
      </c>
    </row>
    <row r="13">
      <c r="A13" s="16">
        <f>IFERROR(INDEX(Otzma[אמצעי],MATCH($T$5,Otzma[מפתח],0)),"")</f>
        <v/>
      </c>
      <c r="B13" s="17">
        <f>IFERROR(INDEX(Otzma[סך הכל],MATCH($T$5,Otzma[מפתח],0)),"")</f>
        <v/>
      </c>
      <c r="C13" s="17">
        <f>IFERROR(INDEX(Otzma[מצאי],MATCH($T$5,Otzma[מפתח],0)),"")</f>
        <v/>
      </c>
      <c r="D13" s="18">
        <f>IFERROR(INDEX(Otzma[פער],MATCH($T$5,Otzma[מפתח],0)),"")</f>
        <v/>
      </c>
      <c r="E13" s="16">
        <f>IFERROR(INDEX(Otzma[אמצעי],MATCH($T$23,Otzma[מפתח],0)),"")</f>
        <v/>
      </c>
      <c r="F13" s="17">
        <f>IFERROR(INDEX(Otzma[סך הכל],MATCH($T$23,Otzma[מפתח],0)),"")</f>
        <v/>
      </c>
      <c r="G13" s="17">
        <f>IFERROR(INDEX(Otzma[מצאי],MATCH($T$23,Otzma[מפתח],0)),"")</f>
        <v/>
      </c>
      <c r="H13" s="19">
        <f>IFERROR(INDEX(Otzma[פער],MATCH($T$23,Otzma[מפתח],0)),"")</f>
        <v/>
      </c>
      <c r="T13">
        <f>IFERROR(SMALL(Otzma[מפתח],12),"")</f>
        <v/>
      </c>
    </row>
    <row r="14">
      <c r="A14" s="16">
        <f>IFERROR(INDEX(Otzma[אמצעי],MATCH($T$6,Otzma[מפתח],0)),"")</f>
        <v/>
      </c>
      <c r="B14" s="17">
        <f>IFERROR(INDEX(Otzma[סך הכל],MATCH($T$6,Otzma[מפתח],0)),"")</f>
        <v/>
      </c>
      <c r="C14" s="17">
        <f>IFERROR(INDEX(Otzma[מצאי],MATCH($T$6,Otzma[מפתח],0)),"")</f>
        <v/>
      </c>
      <c r="D14" s="18">
        <f>IFERROR(INDEX(Otzma[פער],MATCH($T$6,Otzma[מפתח],0)),"")</f>
        <v/>
      </c>
      <c r="E14" s="16">
        <f>IFERROR(INDEX(Otzma[אמצעי],MATCH($T$24,Otzma[מפתח],0)),"")</f>
        <v/>
      </c>
      <c r="F14" s="17">
        <f>IFERROR(INDEX(Otzma[סך הכל],MATCH($T$24,Otzma[מפתח],0)),"")</f>
        <v/>
      </c>
      <c r="G14" s="17">
        <f>IFERROR(INDEX(Otzma[מצאי],MATCH($T$24,Otzma[מפתח],0)),"")</f>
        <v/>
      </c>
      <c r="H14" s="19">
        <f>IFERROR(INDEX(Otzma[פער],MATCH($T$24,Otzma[מפתח],0)),"")</f>
        <v/>
      </c>
    </row>
    <row r="15">
      <c r="A15" s="16">
        <f>IFERROR(INDEX(Otzma[אמצעי],MATCH($T$7,Otzma[מפתח],0)),"")</f>
        <v/>
      </c>
      <c r="B15" s="17">
        <f>IFERROR(INDEX(Otzma[סך הכל],MATCH($T$7,Otzma[מפתח],0)),"")</f>
        <v/>
      </c>
      <c r="C15" s="17">
        <f>IFERROR(INDEX(Otzma[מצאי],MATCH($T$7,Otzma[מפתח],0)),"")</f>
        <v/>
      </c>
      <c r="D15" s="18">
        <f>IFERROR(INDEX(Otzma[פער],MATCH($T$7,Otzma[מפתח],0)),"")</f>
        <v/>
      </c>
      <c r="E15" s="16">
        <f>IFERROR(INDEX(Otzma[אמצעי],MATCH($T$25,Otzma[מפתח],0)),"")</f>
        <v/>
      </c>
      <c r="F15" s="17">
        <f>IFERROR(INDEX(Otzma[סך הכל],MATCH($T$25,Otzma[מפתח],0)),"")</f>
        <v/>
      </c>
      <c r="G15" s="17">
        <f>IFERROR(INDEX(Otzma[מצאי],MATCH($T$25,Otzma[מפתח],0)),"")</f>
        <v/>
      </c>
      <c r="H15" s="19">
        <f>IFERROR(INDEX(Otzma[פער],MATCH($T$25,Otzma[מפתח],0)),"")</f>
        <v/>
      </c>
    </row>
    <row r="16">
      <c r="A16" s="16">
        <f>IFERROR(INDEX(Otzma[אמצעי],MATCH($T$8,Otzma[מפתח],0)),"")</f>
        <v/>
      </c>
      <c r="B16" s="17">
        <f>IFERROR(INDEX(Otzma[סך הכל],MATCH($T$8,Otzma[מפתח],0)),"")</f>
        <v/>
      </c>
      <c r="C16" s="17">
        <f>IFERROR(INDEX(Otzma[מצאי],MATCH($T$8,Otzma[מפתח],0)),"")</f>
        <v/>
      </c>
      <c r="D16" s="18">
        <f>IFERROR(INDEX(Otzma[פער],MATCH($T$8,Otzma[מפתח],0)),"")</f>
        <v/>
      </c>
    </row>
    <row r="17">
      <c r="A17" s="16">
        <f>IFERROR(INDEX(Otzma[אמצעי],MATCH($T$9,Otzma[מפתח],0)),"")</f>
        <v/>
      </c>
      <c r="B17" s="17">
        <f>IFERROR(INDEX(Otzma[סך הכל],MATCH($T$9,Otzma[מפתח],0)),"")</f>
        <v/>
      </c>
      <c r="C17" s="17">
        <f>IFERROR(INDEX(Otzma[מצאי],MATCH($T$9,Otzma[מפתח],0)),"")</f>
        <v/>
      </c>
      <c r="D17" s="18">
        <f>IFERROR(INDEX(Otzma[פער],MATCH($T$9,Otzma[מפתח],0)),"")</f>
        <v/>
      </c>
    </row>
    <row r="18">
      <c r="A18" s="16">
        <f>IFERROR(INDEX(Otzma[אמצעי],MATCH($T$10,Otzma[מפתח],0)),"")</f>
        <v/>
      </c>
      <c r="B18" s="17">
        <f>IFERROR(INDEX(Otzma[סך הכל],MATCH($T$10,Otzma[מפתח],0)),"")</f>
        <v/>
      </c>
      <c r="C18" s="17">
        <f>IFERROR(INDEX(Otzma[מצאי],MATCH($T$10,Otzma[מפתח],0)),"")</f>
        <v/>
      </c>
      <c r="D18" s="18">
        <f>IFERROR(INDEX(Otzma[פער],MATCH($T$10,Otzma[מפתח],0)),"")</f>
        <v/>
      </c>
    </row>
    <row r="19">
      <c r="A19" s="16">
        <f>IFERROR(INDEX(Otzma[אמצעי],MATCH($T$11,Otzma[מפתח],0)),"")</f>
        <v/>
      </c>
      <c r="B19" s="17">
        <f>IFERROR(INDEX(Otzma[סך הכל],MATCH($T$11,Otzma[מפתח],0)),"")</f>
        <v/>
      </c>
      <c r="C19" s="17">
        <f>IFERROR(INDEX(Otzma[מצאי],MATCH($T$11,Otzma[מפתח],0)),"")</f>
        <v/>
      </c>
      <c r="D19" s="18">
        <f>IFERROR(INDEX(Otzma[פער],MATCH($T$11,Otzma[מפתח],0)),"")</f>
        <v/>
      </c>
    </row>
    <row r="20">
      <c r="A20" s="16">
        <f>IFERROR(INDEX(Otzma[אמצעי],MATCH($T$12,Otzma[מפתח],0)),"")</f>
        <v/>
      </c>
      <c r="B20" s="17">
        <f>IFERROR(INDEX(Otzma[סך הכל],MATCH($T$12,Otzma[מפתח],0)),"")</f>
        <v/>
      </c>
      <c r="C20" s="17">
        <f>IFERROR(INDEX(Otzma[מצאי],MATCH($T$12,Otzma[מפתח],0)),"")</f>
        <v/>
      </c>
      <c r="D20" s="18">
        <f>IFERROR(INDEX(Otzma[פער],MATCH($T$12,Otzma[מפתח],0)),"")</f>
        <v/>
      </c>
      <c r="T20">
        <f>IFERROR(IF(LARGE(Otzma[מפתח],1)&gt;0,LARGE(Otzma[מפתח],1),""),"")</f>
        <v/>
      </c>
    </row>
    <row r="21">
      <c r="A21" s="16">
        <f>IFERROR(INDEX(Otzma[אמצעי],MATCH($T$13,Otzma[מפתח],0)),"")</f>
        <v/>
      </c>
      <c r="B21" s="17">
        <f>IFERROR(INDEX(Otzma[סך הכל],MATCH($T$13,Otzma[מפתח],0)),"")</f>
        <v/>
      </c>
      <c r="C21" s="17">
        <f>IFERROR(INDEX(Otzma[מצאי],MATCH($T$13,Otzma[מפתח],0)),"")</f>
        <v/>
      </c>
      <c r="D21" s="18">
        <f>IFERROR(INDEX(Otzma[פער],MATCH($T$13,Otzma[מפתח],0)),"")</f>
        <v/>
      </c>
      <c r="T21">
        <f>IFERROR(IF(LARGE(Otzma[מפתח],2)&gt;0,LARGE(Otzma[מפתח],2),""),"")</f>
        <v/>
      </c>
    </row>
    <row r="22">
      <c r="T22">
        <f>IFERROR(IF(LARGE(Otzma[מפתח],3)&gt;0,LARGE(Otzma[מפתח],3),""),"")</f>
        <v/>
      </c>
    </row>
    <row r="23">
      <c r="T23">
        <f>IFERROR(IF(LARGE(Otzma[מפתח],4)&gt;0,LARGE(Otzma[מפתח],4),""),"")</f>
        <v/>
      </c>
    </row>
    <row r="24">
      <c r="T24">
        <f>IFERROR(IF(LARGE(Otzma[מפתח],5)&gt;0,LARGE(Otzma[מפתח],5),""),"")</f>
        <v/>
      </c>
    </row>
    <row r="25">
      <c r="T25">
        <f>IFERROR(IF(LARGE(Otzma[מפתח],6)&gt;0,LARGE(Otzma[מפתח],6),""),"")</f>
        <v/>
      </c>
    </row>
  </sheetData>
  <mergeCells count="18">
    <mergeCell ref="A5:A6"/>
    <mergeCell ref="G5:G6"/>
    <mergeCell ref="D4"/>
    <mergeCell ref="B4"/>
    <mergeCell ref="E5:E6"/>
    <mergeCell ref="A8:D8"/>
    <mergeCell ref="C4"/>
    <mergeCell ref="A4"/>
    <mergeCell ref="F4"/>
    <mergeCell ref="E4"/>
    <mergeCell ref="F5:F6"/>
    <mergeCell ref="G4"/>
    <mergeCell ref="A2:H2"/>
    <mergeCell ref="E8:H8"/>
    <mergeCell ref="A1:H1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5"/>
  <sheetViews>
    <sheetView rightToLeft="1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2" customWidth="1" min="15" max="15"/>
    <col width="22" customWidth="1" min="16" max="16"/>
    <col hidden="1" width="9" customWidth="1" min="17" max="17"/>
  </cols>
  <sheetData>
    <row r="1" ht="30" customHeight="1">
      <c r="A1" s="20" t="inlineStr">
        <is>
          <t>טבלת עוצמה גדודית — גדוד 28  |  קובץ ניהול חי (כל שינוי מתעדכן אוטומטית)</t>
        </is>
      </c>
    </row>
    <row r="2" ht="30" customHeight="1">
      <c r="A2" s="15" t="inlineStr">
        <is>
          <t>קטגוריה</t>
        </is>
      </c>
      <c r="B2" s="15" t="inlineStr">
        <is>
          <t>אמצעי</t>
        </is>
      </c>
      <c r="C2" s="15" t="inlineStr">
        <is>
          <t>פלוגה א</t>
        </is>
      </c>
      <c r="D2" s="15" t="inlineStr">
        <is>
          <t>פלוגה ב</t>
        </is>
      </c>
      <c r="E2" s="15" t="inlineStr">
        <is>
          <t>פלוגה ג</t>
        </is>
      </c>
      <c r="F2" s="15" t="inlineStr">
        <is>
          <t>מסייעת</t>
        </is>
      </c>
      <c r="G2" s="15" t="inlineStr">
        <is>
          <t>פתן</t>
        </is>
      </c>
      <c r="H2" s="15" t="inlineStr">
        <is>
          <t>חפק</t>
        </is>
      </c>
      <c r="I2" s="15" t="inlineStr">
        <is>
          <t>מפקדה</t>
        </is>
      </c>
      <c r="J2" s="15" t="inlineStr">
        <is>
          <t>מלאי</t>
        </is>
      </c>
      <c r="K2" s="15" t="inlineStr">
        <is>
          <t>סך הכל</t>
        </is>
      </c>
      <c r="L2" s="15" t="inlineStr">
        <is>
          <t>מצאי</t>
        </is>
      </c>
      <c r="M2" s="15" t="inlineStr">
        <is>
          <t>פער</t>
        </is>
      </c>
      <c r="N2" s="15" t="inlineStr">
        <is>
          <t>אחוז מימוש</t>
        </is>
      </c>
      <c r="O2" s="15" t="inlineStr">
        <is>
          <t>סטטוס</t>
        </is>
      </c>
      <c r="P2" s="15" t="inlineStr">
        <is>
          <t>הערות</t>
        </is>
      </c>
      <c r="Q2" s="15" t="inlineStr">
        <is>
          <t>מפתח</t>
        </is>
      </c>
    </row>
    <row r="3">
      <c r="A3" s="16" t="inlineStr">
        <is>
          <t>נשק ומקלעים</t>
        </is>
      </c>
      <c r="B3" s="21" t="inlineStr">
        <is>
          <t>M16</t>
        </is>
      </c>
      <c r="C3" s="17" t="n"/>
      <c r="D3" s="17" t="n"/>
      <c r="E3" s="17" t="n"/>
      <c r="F3" s="17" t="n"/>
      <c r="G3" s="17" t="n"/>
      <c r="H3" s="17" t="n"/>
      <c r="I3" s="17" t="n"/>
      <c r="J3" s="17" t="n">
        <v>173</v>
      </c>
      <c r="K3" s="17">
        <f>SUM(C3:J3)</f>
        <v/>
      </c>
      <c r="L3" s="17" t="n"/>
      <c r="M3" s="17">
        <f>IF(L3="","",K3-L3)</f>
        <v/>
      </c>
      <c r="N3" s="22">
        <f>IF(OR(L3="",L3=0),"",K3/L3)</f>
        <v/>
      </c>
      <c r="O3" s="17">
        <f>IF(L3="","אין מצאי",IF(K3&lt;L3,"חוסר",IF(K3&gt;L3,"עודף","תקין")))</f>
        <v/>
      </c>
      <c r="P3" s="16" t="inlineStr"/>
      <c r="Q3" s="23">
        <f>IF(O3="חוסר",M3-ROW()/100000,IF(O3="עודף",M3+ROW()/100000,""))</f>
        <v/>
      </c>
    </row>
    <row r="4">
      <c r="A4" s="16" t="inlineStr">
        <is>
          <t>נשק ומקלעים</t>
        </is>
      </c>
      <c r="B4" s="21" t="inlineStr">
        <is>
          <t>M16</t>
        </is>
      </c>
      <c r="C4" s="17" t="n"/>
      <c r="D4" s="17" t="n"/>
      <c r="E4" s="17" t="n"/>
      <c r="F4" s="17" t="n"/>
      <c r="G4" s="17" t="n"/>
      <c r="H4" s="17" t="n"/>
      <c r="I4" s="17" t="n">
        <v>12</v>
      </c>
      <c r="J4" s="17" t="n">
        <v>161</v>
      </c>
      <c r="K4" s="17">
        <f>SUM(C4:J4)</f>
        <v/>
      </c>
      <c r="L4" s="17" t="n">
        <v>173</v>
      </c>
      <c r="M4" s="17">
        <f>IF(L4="","",K4-L4)</f>
        <v/>
      </c>
      <c r="N4" s="22">
        <f>IF(OR(L4="",L4=0),"",K4/L4)</f>
        <v/>
      </c>
      <c r="O4" s="17">
        <f>IF(L4="","אין מצאי",IF(K4&lt;L4,"חוסר",IF(K4&gt;L4,"עודף","תקין")))</f>
        <v/>
      </c>
      <c r="P4" s="16" t="inlineStr"/>
      <c r="Q4" s="23">
        <f>IF(O4="חוסר",M4-ROW()/100000,IF(O4="עודף",M4+ROW()/100000,""))</f>
        <v/>
      </c>
    </row>
    <row r="5">
      <c r="A5" s="16" t="inlineStr">
        <is>
          <t>נשק ומקלעים</t>
        </is>
      </c>
      <c r="B5" s="21" t="inlineStr">
        <is>
          <t>זאבון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>
        <f>SUM(C5:J5)</f>
        <v/>
      </c>
      <c r="L5" s="17" t="n"/>
      <c r="M5" s="17">
        <f>IF(L5="","",K5-L5)</f>
        <v/>
      </c>
      <c r="N5" s="22">
        <f>IF(OR(L5="",L5=0),"",K5/L5)</f>
        <v/>
      </c>
      <c r="O5" s="17">
        <f>IF(L5="","אין מצאי",IF(K5&lt;L5,"חוסר",IF(K5&gt;L5,"עודף","תקין")))</f>
        <v/>
      </c>
      <c r="P5" s="16" t="inlineStr"/>
      <c r="Q5" s="23">
        <f>IF(O5="חוסר",M5-ROW()/100000,IF(O5="עודף",M5+ROW()/100000,""))</f>
        <v/>
      </c>
    </row>
    <row r="6">
      <c r="A6" s="16" t="inlineStr">
        <is>
          <t>נשק ומקלעים</t>
        </is>
      </c>
      <c r="B6" s="21" t="inlineStr">
        <is>
          <t>מאג</t>
        </is>
      </c>
      <c r="C6" s="17" t="n"/>
      <c r="D6" s="17" t="n"/>
      <c r="E6" s="17" t="n"/>
      <c r="F6" s="17" t="n"/>
      <c r="G6" s="17" t="n"/>
      <c r="H6" s="17" t="n"/>
      <c r="I6" s="17" t="n"/>
      <c r="J6" s="17" t="n">
        <v>25</v>
      </c>
      <c r="K6" s="17">
        <f>SUM(C6:J6)</f>
        <v/>
      </c>
      <c r="L6" s="17" t="n">
        <v>23</v>
      </c>
      <c r="M6" s="17">
        <f>IF(L6="","",K6-L6)</f>
        <v/>
      </c>
      <c r="N6" s="22">
        <f>IF(OR(L6="",L6=0),"",K6/L6)</f>
        <v/>
      </c>
      <c r="O6" s="17">
        <f>IF(L6="","אין מצאי",IF(K6&lt;L6,"חוסר",IF(K6&gt;L6,"עודף","תקין")))</f>
        <v/>
      </c>
      <c r="P6" s="16" t="inlineStr"/>
      <c r="Q6" s="23">
        <f>IF(O6="חוסר",M6-ROW()/100000,IF(O6="עודף",M6+ROW()/100000,""))</f>
        <v/>
      </c>
    </row>
    <row r="7">
      <c r="A7" s="16" t="inlineStr">
        <is>
          <t>נשק ומקלעים</t>
        </is>
      </c>
      <c r="B7" s="21" t="inlineStr">
        <is>
          <t>מטול+זאבון</t>
        </is>
      </c>
      <c r="C7" s="17" t="n">
        <v>7</v>
      </c>
      <c r="D7" s="17" t="n">
        <v>8</v>
      </c>
      <c r="E7" s="17" t="n">
        <v>6</v>
      </c>
      <c r="F7" s="17" t="n">
        <v>6</v>
      </c>
      <c r="G7" s="17" t="n">
        <v>2</v>
      </c>
      <c r="H7" s="17" t="n">
        <v>1</v>
      </c>
      <c r="I7" s="17" t="n"/>
      <c r="J7" s="17" t="n">
        <v>1</v>
      </c>
      <c r="K7" s="17">
        <f>SUM(C7:J7)</f>
        <v/>
      </c>
      <c r="L7" s="17" t="n">
        <v>31</v>
      </c>
      <c r="M7" s="17">
        <f>IF(L7="","",K7-L7)</f>
        <v/>
      </c>
      <c r="N7" s="22">
        <f>IF(OR(L7="",L7=0),"",K7/L7)</f>
        <v/>
      </c>
      <c r="O7" s="17">
        <f>IF(L7="","אין מצאי",IF(K7&lt;L7,"חוסר",IF(K7&gt;L7,"עודף","תקין")))</f>
        <v/>
      </c>
      <c r="P7" s="16" t="inlineStr"/>
      <c r="Q7" s="23">
        <f>IF(O7="חוסר",M7-ROW()/100000,IF(O7="עודף",M7+ROW()/100000,""))</f>
        <v/>
      </c>
    </row>
    <row r="8">
      <c r="A8" s="16" t="inlineStr">
        <is>
          <t>נשק ומקלעים</t>
        </is>
      </c>
      <c r="B8" s="21" t="inlineStr">
        <is>
          <t>מפרו לייט קצר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>
        <f>SUM(C8:J8)</f>
        <v/>
      </c>
      <c r="L8" s="17" t="n"/>
      <c r="M8" s="17">
        <f>IF(L8="","",K8-L8)</f>
        <v/>
      </c>
      <c r="N8" s="22">
        <f>IF(OR(L8="",L8=0),"",K8/L8)</f>
        <v/>
      </c>
      <c r="O8" s="17">
        <f>IF(L8="","אין מצאי",IF(K8&lt;L8,"חוסר",IF(K8&gt;L8,"עודף","תקין")))</f>
        <v/>
      </c>
      <c r="P8" s="16" t="inlineStr"/>
      <c r="Q8" s="23">
        <f>IF(O8="חוסר",M8-ROW()/100000,IF(O8="עודף",M8+ROW()/100000,""))</f>
        <v/>
      </c>
    </row>
    <row r="9">
      <c r="A9" s="16" t="inlineStr">
        <is>
          <t>נשק ומקלעים</t>
        </is>
      </c>
      <c r="B9" s="21" t="inlineStr">
        <is>
          <t>מקלע נגב קל</t>
        </is>
      </c>
      <c r="C9" s="17" t="n">
        <v>4</v>
      </c>
      <c r="D9" s="17" t="n">
        <v>6</v>
      </c>
      <c r="E9" s="17" t="n">
        <v>3</v>
      </c>
      <c r="F9" s="17" t="n">
        <v>3</v>
      </c>
      <c r="G9" s="17" t="n"/>
      <c r="H9" s="17" t="n">
        <v>2</v>
      </c>
      <c r="I9" s="17" t="n"/>
      <c r="J9" s="17" t="n">
        <v>7</v>
      </c>
      <c r="K9" s="17">
        <f>SUM(C9:J9)</f>
        <v/>
      </c>
      <c r="L9" s="17" t="n">
        <v>31</v>
      </c>
      <c r="M9" s="17">
        <f>IF(L9="","",K9-L9)</f>
        <v/>
      </c>
      <c r="N9" s="22">
        <f>IF(OR(L9="",L9=0),"",K9/L9)</f>
        <v/>
      </c>
      <c r="O9" s="17">
        <f>IF(L9="","אין מצאי",IF(K9&lt;L9,"חוסר",IF(K9&gt;L9,"עודף","תקין")))</f>
        <v/>
      </c>
      <c r="P9" s="16" t="inlineStr"/>
      <c r="Q9" s="23">
        <f>IF(O9="חוסר",M9-ROW()/100000,IF(O9="עודף",M9+ROW()/100000,""))</f>
        <v/>
      </c>
    </row>
    <row r="10">
      <c r="A10" s="16" t="inlineStr">
        <is>
          <t>נשק ומקלעים</t>
        </is>
      </c>
      <c r="B10" s="21" t="inlineStr">
        <is>
          <t>מקלרון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>
        <v>2</v>
      </c>
      <c r="K10" s="17">
        <f>SUM(C10:J10)</f>
        <v/>
      </c>
      <c r="L10" s="17" t="n">
        <v>2</v>
      </c>
      <c r="M10" s="17">
        <f>IF(L10="","",K10-L10)</f>
        <v/>
      </c>
      <c r="N10" s="22">
        <f>IF(OR(L10="",L10=0),"",K10/L10)</f>
        <v/>
      </c>
      <c r="O10" s="17">
        <f>IF(L10="","אין מצאי",IF(K10&lt;L10,"חוסר",IF(K10&gt;L10,"עודף","תקין")))</f>
        <v/>
      </c>
      <c r="P10" s="16" t="inlineStr"/>
      <c r="Q10" s="23">
        <f>IF(O10="חוסר",M10-ROW()/100000,IF(O10="עודף",M10+ROW()/100000,""))</f>
        <v/>
      </c>
    </row>
    <row r="11">
      <c r="A11" s="16" t="inlineStr">
        <is>
          <t>נשק ומקלעים</t>
        </is>
      </c>
      <c r="B11" s="21" t="inlineStr">
        <is>
          <t>נגב 7.62</t>
        </is>
      </c>
      <c r="C11" s="17" t="n">
        <v>2</v>
      </c>
      <c r="D11" s="17" t="n">
        <v>1</v>
      </c>
      <c r="E11" s="17" t="n">
        <v>2</v>
      </c>
      <c r="F11" s="17" t="n">
        <v>2</v>
      </c>
      <c r="G11" s="17" t="n"/>
      <c r="H11" s="17" t="n"/>
      <c r="I11" s="17" t="n"/>
      <c r="J11" s="17" t="n">
        <v>1</v>
      </c>
      <c r="K11" s="17">
        <f>SUM(C11:J11)</f>
        <v/>
      </c>
      <c r="L11" s="17" t="n">
        <v>8</v>
      </c>
      <c r="M11" s="17">
        <f>IF(L11="","",K11-L11)</f>
        <v/>
      </c>
      <c r="N11" s="22">
        <f>IF(OR(L11="",L11=0),"",K11/L11)</f>
        <v/>
      </c>
      <c r="O11" s="17">
        <f>IF(L11="","אין מצאי",IF(K11&lt;L11,"חוסר",IF(K11&gt;L11,"עודף","תקין")))</f>
        <v/>
      </c>
      <c r="P11" s="16" t="inlineStr"/>
      <c r="Q11" s="23">
        <f>IF(O11="חוסר",M11-ROW()/100000,IF(O11="עודף",M11+ROW()/100000,""))</f>
        <v/>
      </c>
    </row>
    <row r="12">
      <c r="A12" s="16" t="inlineStr">
        <is>
          <t>נשק ומקלעים</t>
        </is>
      </c>
      <c r="B12" s="21" t="inlineStr">
        <is>
          <t>פגיון + כוונת</t>
        </is>
      </c>
      <c r="C12" s="17" t="n">
        <v>1</v>
      </c>
      <c r="D12" s="17" t="n">
        <v>1</v>
      </c>
      <c r="E12" s="17" t="n">
        <v>1</v>
      </c>
      <c r="F12" s="17" t="n">
        <v>1</v>
      </c>
      <c r="G12" s="17" t="n"/>
      <c r="H12" s="17" t="n"/>
      <c r="I12" s="17" t="n"/>
      <c r="J12" s="17" t="n">
        <v>1</v>
      </c>
      <c r="K12" s="17">
        <f>SUM(C12:J12)</f>
        <v/>
      </c>
      <c r="L12" s="17" t="n">
        <v>5</v>
      </c>
      <c r="M12" s="17">
        <f>IF(L12="","",K12-L12)</f>
        <v/>
      </c>
      <c r="N12" s="22">
        <f>IF(OR(L12="",L12=0),"",K12/L12)</f>
        <v/>
      </c>
      <c r="O12" s="17">
        <f>IF(L12="","אין מצאי",IF(K12&lt;L12,"חוסר",IF(K12&gt;L12,"עודף","תקין")))</f>
        <v/>
      </c>
      <c r="P12" s="16" t="inlineStr"/>
      <c r="Q12" s="23">
        <f>IF(O12="חוסר",M12-ROW()/100000,IF(O12="עודף",M12+ROW()/100000,""))</f>
        <v/>
      </c>
    </row>
    <row r="13">
      <c r="A13" s="16" t="inlineStr">
        <is>
          <t>נשק ומקלעים</t>
        </is>
      </c>
      <c r="B13" s="21" t="inlineStr">
        <is>
          <t>רוב"צ HTR 338</t>
        </is>
      </c>
      <c r="C13" s="17" t="n"/>
      <c r="D13" s="17" t="n"/>
      <c r="E13" s="17" t="n"/>
      <c r="F13" s="17" t="n">
        <v>4</v>
      </c>
      <c r="G13" s="17" t="n"/>
      <c r="H13" s="17" t="n"/>
      <c r="I13" s="17" t="n"/>
      <c r="J13" s="17" t="n"/>
      <c r="K13" s="17">
        <f>SUM(C13:J13)</f>
        <v/>
      </c>
      <c r="L13" s="17" t="n">
        <v>4</v>
      </c>
      <c r="M13" s="17">
        <f>IF(L13="","",K13-L13)</f>
        <v/>
      </c>
      <c r="N13" s="22">
        <f>IF(OR(L13="",L13=0),"",K13/L13)</f>
        <v/>
      </c>
      <c r="O13" s="17">
        <f>IF(L13="","אין מצאי",IF(K13&lt;L13,"חוסר",IF(K13&gt;L13,"עודף","תקין")))</f>
        <v/>
      </c>
      <c r="P13" s="16" t="inlineStr"/>
      <c r="Q13" s="23">
        <f>IF(O13="חוסר",M13-ROW()/100000,IF(O13="עודף",M13+ROW()/100000,""))</f>
        <v/>
      </c>
    </row>
    <row r="14">
      <c r="A14" s="16" t="inlineStr">
        <is>
          <t>נשק ומקלעים</t>
        </is>
      </c>
      <c r="B14" s="21" t="inlineStr">
        <is>
          <t>רוב"צ M24</t>
        </is>
      </c>
      <c r="C14" s="17" t="n"/>
      <c r="D14" s="17" t="n"/>
      <c r="E14" s="17" t="n"/>
      <c r="F14" s="17" t="n">
        <v>5</v>
      </c>
      <c r="G14" s="17" t="n"/>
      <c r="H14" s="17" t="n"/>
      <c r="I14" s="17" t="n"/>
      <c r="J14" s="17" t="n"/>
      <c r="K14" s="17">
        <f>SUM(C14:J14)</f>
        <v/>
      </c>
      <c r="L14" s="17" t="n">
        <v>8</v>
      </c>
      <c r="M14" s="17">
        <f>IF(L14="","",K14-L14)</f>
        <v/>
      </c>
      <c r="N14" s="22">
        <f>IF(OR(L14="",L14=0),"",K14/L14)</f>
        <v/>
      </c>
      <c r="O14" s="17">
        <f>IF(L14="","אין מצאי",IF(K14&lt;L14,"חוסר",IF(K14&gt;L14,"עודף","תקין")))</f>
        <v/>
      </c>
      <c r="P14" s="16" t="inlineStr"/>
      <c r="Q14" s="23">
        <f>IF(O14="חוסר",M14-ROW()/100000,IF(O14="עודף",M14+ROW()/100000,""))</f>
        <v/>
      </c>
    </row>
    <row r="15">
      <c r="A15" s="16" t="inlineStr">
        <is>
          <t>נשק ומקלעים</t>
        </is>
      </c>
      <c r="B15" s="21" t="inlineStr">
        <is>
          <t>רוס"ר M4 פלטופ</t>
        </is>
      </c>
      <c r="C15" s="17" t="n">
        <v>58</v>
      </c>
      <c r="D15" s="17" t="n">
        <v>58</v>
      </c>
      <c r="E15" s="17" t="n">
        <v>52</v>
      </c>
      <c r="F15" s="17" t="n">
        <v>79</v>
      </c>
      <c r="G15" s="17" t="n">
        <v>25</v>
      </c>
      <c r="H15" s="17" t="n">
        <v>14</v>
      </c>
      <c r="I15" s="17" t="n"/>
      <c r="J15" s="17" t="n">
        <v>59</v>
      </c>
      <c r="K15" s="17">
        <f>SUM(C15:J15)</f>
        <v/>
      </c>
      <c r="L15" s="17" t="n">
        <v>347</v>
      </c>
      <c r="M15" s="17">
        <f>IF(L15="","",K15-L15)</f>
        <v/>
      </c>
      <c r="N15" s="22">
        <f>IF(OR(L15="",L15=0),"",K15/L15)</f>
        <v/>
      </c>
      <c r="O15" s="17">
        <f>IF(L15="","אין מצאי",IF(K15&lt;L15,"חוסר",IF(K15&gt;L15,"עודף","תקין")))</f>
        <v/>
      </c>
      <c r="P15" s="16" t="inlineStr">
        <is>
          <t>מלט פסטרנק לשם</t>
        </is>
      </c>
      <c r="Q15" s="23">
        <f>IF(O15="חוסר",M15-ROW()/100000,IF(O15="עודף",M15+ROW()/100000,""))</f>
        <v/>
      </c>
    </row>
    <row r="16">
      <c r="A16" s="16" t="inlineStr">
        <is>
          <t>כוונות ואופטיקה</t>
        </is>
      </c>
      <c r="B16" s="21" t="inlineStr">
        <is>
          <t>PACK EOTECH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>
        <v>81</v>
      </c>
      <c r="K16" s="17">
        <f>SUM(C16:J16)</f>
        <v/>
      </c>
      <c r="L16" s="17" t="n"/>
      <c r="M16" s="17">
        <f>IF(L16="","",K16-L16)</f>
        <v/>
      </c>
      <c r="N16" s="22">
        <f>IF(OR(L16="",L16=0),"",K16/L16)</f>
        <v/>
      </c>
      <c r="O16" s="17">
        <f>IF(L16="","אין מצאי",IF(K16&lt;L16,"חוסר",IF(K16&gt;L16,"עודף","תקין")))</f>
        <v/>
      </c>
      <c r="P16" s="16" t="inlineStr"/>
      <c r="Q16" s="23">
        <f>IF(O16="חוסר",M16-ROW()/100000,IF(O16="עודף",M16+ROW()/100000,""))</f>
        <v/>
      </c>
    </row>
    <row r="17">
      <c r="A17" s="16" t="inlineStr">
        <is>
          <t>כוונות ואופטיקה</t>
        </is>
      </c>
      <c r="B17" s="21" t="inlineStr">
        <is>
          <t>PACK שחור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>
        <v>51</v>
      </c>
      <c r="K17" s="17">
        <f>SUM(C17:J17)</f>
        <v/>
      </c>
      <c r="L17" s="17" t="n"/>
      <c r="M17" s="17">
        <f>IF(L17="","",K17-L17)</f>
        <v/>
      </c>
      <c r="N17" s="22">
        <f>IF(OR(L17="",L17=0),"",K17/L17)</f>
        <v/>
      </c>
      <c r="O17" s="17">
        <f>IF(L17="","אין מצאי",IF(K17&lt;L17,"חוסר",IF(K17&gt;L17,"עודף","תקין")))</f>
        <v/>
      </c>
      <c r="P17" s="16" t="inlineStr"/>
      <c r="Q17" s="23">
        <f>IF(O17="חוסר",M17-ROW()/100000,IF(O17="עודף",M17+ROW()/100000,""))</f>
        <v/>
      </c>
    </row>
    <row r="18">
      <c r="A18" s="16" t="inlineStr">
        <is>
          <t>כוונות ואופטיקה</t>
        </is>
      </c>
      <c r="B18" s="21" t="inlineStr">
        <is>
          <t>eotech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>
        <f>SUM(C18:J18)</f>
        <v/>
      </c>
      <c r="L18" s="17" t="n"/>
      <c r="M18" s="17">
        <f>IF(L18="","",K18-L18)</f>
        <v/>
      </c>
      <c r="N18" s="22">
        <f>IF(OR(L18="",L18=0),"",K18/L18)</f>
        <v/>
      </c>
      <c r="O18" s="17">
        <f>IF(L18="","אין מצאי",IF(K18&lt;L18,"חוסר",IF(K18&gt;L18,"עודף","תקין")))</f>
        <v/>
      </c>
      <c r="P18" s="16" t="inlineStr"/>
      <c r="Q18" s="23">
        <f>IF(O18="חוסר",M18-ROW()/100000,IF(O18="עודף",M18+ROW()/100000,""))</f>
        <v/>
      </c>
    </row>
    <row r="19">
      <c r="A19" s="16" t="inlineStr">
        <is>
          <t>כוונות ואופטיקה</t>
        </is>
      </c>
      <c r="B19" s="21" t="inlineStr">
        <is>
          <t>כוונת השלכה M5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>
        <f>SUM(C19:J19)</f>
        <v/>
      </c>
      <c r="L19" s="17" t="n">
        <v>306</v>
      </c>
      <c r="M19" s="17">
        <f>IF(L19="","",K19-L19)</f>
        <v/>
      </c>
      <c r="N19" s="22">
        <f>IF(OR(L19="",L19=0),"",K19/L19)</f>
        <v/>
      </c>
      <c r="O19" s="17">
        <f>IF(L19="","אין מצאי",IF(K19&lt;L19,"חוסר",IF(K19&gt;L19,"עודף","תקין")))</f>
        <v/>
      </c>
      <c r="P19" s="16" t="inlineStr"/>
      <c r="Q19" s="23">
        <f>IF(O19="חוסר",M19-ROW()/100000,IF(O19="עודף",M19+ROW()/100000,""))</f>
        <v/>
      </c>
    </row>
    <row r="20">
      <c r="A20" s="16" t="inlineStr">
        <is>
          <t>כוונות ואופטיקה</t>
        </is>
      </c>
      <c r="B20" s="21" t="inlineStr">
        <is>
          <t>כוונת השלכה מתקדמת</t>
        </is>
      </c>
      <c r="C20" s="17" t="n"/>
      <c r="D20" s="17" t="n"/>
      <c r="E20" s="17" t="n"/>
      <c r="F20" s="17" t="n"/>
      <c r="G20" s="17" t="n"/>
      <c r="H20" s="17" t="n"/>
      <c r="I20" s="17" t="n"/>
      <c r="J20" s="17" t="n">
        <v>29</v>
      </c>
      <c r="K20" s="17">
        <f>SUM(C20:J20)</f>
        <v/>
      </c>
      <c r="L20" s="17" t="n"/>
      <c r="M20" s="17">
        <f>IF(L20="","",K20-L20)</f>
        <v/>
      </c>
      <c r="N20" s="22">
        <f>IF(OR(L20="",L20=0),"",K20/L20)</f>
        <v/>
      </c>
      <c r="O20" s="17">
        <f>IF(L20="","אין מצאי",IF(K20&lt;L20,"חוסר",IF(K20&gt;L20,"עודף","תקין")))</f>
        <v/>
      </c>
      <c r="P20" s="16" t="inlineStr"/>
      <c r="Q20" s="23">
        <f>IF(O20="חוסר",M20-ROW()/100000,IF(O20="עודף",M20+ROW()/100000,""))</f>
        <v/>
      </c>
    </row>
    <row r="21">
      <c r="A21" s="16" t="inlineStr">
        <is>
          <t>כוונות ואופטיקה</t>
        </is>
      </c>
      <c r="B21" s="21" t="inlineStr">
        <is>
          <t>כוונת טריג'</t>
        </is>
      </c>
      <c r="C21" s="17" t="n">
        <v>12</v>
      </c>
      <c r="D21" s="17" t="n">
        <v>14</v>
      </c>
      <c r="E21" s="17" t="n">
        <v>16</v>
      </c>
      <c r="F21" s="17" t="n">
        <v>15</v>
      </c>
      <c r="G21" s="17" t="n">
        <v>2</v>
      </c>
      <c r="H21" s="17" t="n">
        <v>4</v>
      </c>
      <c r="I21" s="17" t="n"/>
      <c r="J21" s="17" t="n">
        <v>6</v>
      </c>
      <c r="K21" s="17">
        <f>SUM(C21:J21)</f>
        <v/>
      </c>
      <c r="L21" s="17" t="n">
        <v>70</v>
      </c>
      <c r="M21" s="17">
        <f>IF(L21="","",K21-L21)</f>
        <v/>
      </c>
      <c r="N21" s="22">
        <f>IF(OR(L21="",L21=0),"",K21/L21)</f>
        <v/>
      </c>
      <c r="O21" s="17">
        <f>IF(L21="","אין מצאי",IF(K21&lt;L21,"חוסר",IF(K21&gt;L21,"עודף","תקין")))</f>
        <v/>
      </c>
      <c r="P21" s="16" t="inlineStr">
        <is>
          <t>1 אצל מלט</t>
        </is>
      </c>
      <c r="Q21" s="23">
        <f>IF(O21="חוסר",M21-ROW()/100000,IF(O21="עודף",M21+ROW()/100000,""))</f>
        <v/>
      </c>
    </row>
    <row r="22">
      <c r="A22" s="16" t="inlineStr">
        <is>
          <t>כוונות ואופטיקה</t>
        </is>
      </c>
      <c r="B22" s="21" t="inlineStr">
        <is>
          <t>כוונת טרמית קליפאון</t>
        </is>
      </c>
      <c r="C22" s="17" t="n"/>
      <c r="D22" s="17" t="n"/>
      <c r="E22" s="17" t="n"/>
      <c r="F22" s="17" t="n">
        <v>8</v>
      </c>
      <c r="G22" s="17" t="n"/>
      <c r="H22" s="17" t="n"/>
      <c r="I22" s="17" t="n"/>
      <c r="J22" s="17" t="n"/>
      <c r="K22" s="17">
        <f>SUM(C22:J22)</f>
        <v/>
      </c>
      <c r="L22" s="17" t="n">
        <v>8</v>
      </c>
      <c r="M22" s="17">
        <f>IF(L22="","",K22-L22)</f>
        <v/>
      </c>
      <c r="N22" s="22">
        <f>IF(OR(L22="",L22=0),"",K22/L22)</f>
        <v/>
      </c>
      <c r="O22" s="17">
        <f>IF(L22="","אין מצאי",IF(K22&lt;L22,"חוסר",IF(K22&gt;L22,"עודף","תקין")))</f>
        <v/>
      </c>
      <c r="P22" s="16" t="inlineStr"/>
      <c r="Q22" s="23">
        <f>IF(O22="חוסר",M22-ROW()/100000,IF(O22="עודף",M22+ROW()/100000,""))</f>
        <v/>
      </c>
    </row>
    <row r="23">
      <c r="A23" s="16" t="inlineStr">
        <is>
          <t>כוונות ואופטיקה</t>
        </is>
      </c>
      <c r="B23" s="21" t="inlineStr">
        <is>
          <t>כוונת לילה לצלף MUNS</t>
        </is>
      </c>
      <c r="C23" s="17" t="n"/>
      <c r="D23" s="17" t="n"/>
      <c r="E23" s="17" t="n"/>
      <c r="F23" s="17" t="n">
        <v>4</v>
      </c>
      <c r="G23" s="17" t="n"/>
      <c r="H23" s="17" t="n"/>
      <c r="I23" s="17" t="n"/>
      <c r="J23" s="17" t="n"/>
      <c r="K23" s="17">
        <f>SUM(C23:J23)</f>
        <v/>
      </c>
      <c r="L23" s="17" t="n">
        <v>4</v>
      </c>
      <c r="M23" s="17">
        <f>IF(L23="","",K23-L23)</f>
        <v/>
      </c>
      <c r="N23" s="22">
        <f>IF(OR(L23="",L23=0),"",K23/L23)</f>
        <v/>
      </c>
      <c r="O23" s="17">
        <f>IF(L23="","אין מצאי",IF(K23&lt;L23,"חוסר",IF(K23&gt;L23,"עודף","תקין")))</f>
        <v/>
      </c>
      <c r="P23" s="16" t="inlineStr"/>
      <c r="Q23" s="23">
        <f>IF(O23="חוסר",M23-ROW()/100000,IF(O23="עודף",M23+ROW()/100000,""))</f>
        <v/>
      </c>
    </row>
    <row r="24">
      <c r="A24" s="16" t="inlineStr">
        <is>
          <t>כוונות ואופטיקה</t>
        </is>
      </c>
      <c r="B24" s="21" t="inlineStr">
        <is>
          <t>לאופולד</t>
        </is>
      </c>
      <c r="C24" s="17" t="n"/>
      <c r="D24" s="17" t="n"/>
      <c r="E24" s="17" t="n"/>
      <c r="F24" s="17" t="n">
        <v>3</v>
      </c>
      <c r="G24" s="17" t="n"/>
      <c r="H24" s="17" t="n"/>
      <c r="I24" s="17" t="n"/>
      <c r="J24" s="17" t="n"/>
      <c r="K24" s="17">
        <f>SUM(C24:J24)</f>
        <v/>
      </c>
      <c r="L24" s="17" t="n"/>
      <c r="M24" s="17">
        <f>IF(L24="","",K24-L24)</f>
        <v/>
      </c>
      <c r="N24" s="22">
        <f>IF(OR(L24="",L24=0),"",K24/L24)</f>
        <v/>
      </c>
      <c r="O24" s="17">
        <f>IF(L24="","אין מצאי",IF(K24&lt;L24,"חוסר",IF(K24&gt;L24,"עודף","תקין")))</f>
        <v/>
      </c>
      <c r="P24" s="16" t="inlineStr"/>
      <c r="Q24" s="23">
        <f>IF(O24="חוסר",M24-ROW()/100000,IF(O24="עודף",M24+ROW()/100000,""))</f>
        <v/>
      </c>
    </row>
    <row r="25">
      <c r="A25" s="16" t="inlineStr">
        <is>
          <t>אמר"לים ותצפית</t>
        </is>
      </c>
      <c r="B25" s="21" t="inlineStr">
        <is>
          <t>אמצעי זיהוי תהל</t>
        </is>
      </c>
      <c r="C25" s="17" t="n">
        <v>0</v>
      </c>
      <c r="D25" s="17" t="n">
        <v>0</v>
      </c>
      <c r="E25" s="17" t="n">
        <v>2</v>
      </c>
      <c r="F25" s="17" t="n">
        <v>1</v>
      </c>
      <c r="G25" s="17" t="n"/>
      <c r="H25" s="17" t="n"/>
      <c r="I25" s="17" t="n"/>
      <c r="J25" s="17" t="n">
        <v>3</v>
      </c>
      <c r="K25" s="17">
        <f>SUM(C25:J25)</f>
        <v/>
      </c>
      <c r="L25" s="17" t="n">
        <v>55</v>
      </c>
      <c r="M25" s="17">
        <f>IF(L25="","",K25-L25)</f>
        <v/>
      </c>
      <c r="N25" s="22">
        <f>IF(OR(L25="",L25=0),"",K25/L25)</f>
        <v/>
      </c>
      <c r="O25" s="17">
        <f>IF(L25="","אין מצאי",IF(K25&lt;L25,"חוסר",IF(K25&gt;L25,"עודף","תקין")))</f>
        <v/>
      </c>
      <c r="P25" s="16" t="inlineStr"/>
      <c r="Q25" s="23">
        <f>IF(O25="חוסר",M25-ROW()/100000,IF(O25="עודף",M25+ROW()/100000,""))</f>
        <v/>
      </c>
    </row>
    <row r="26">
      <c r="A26" s="16" t="inlineStr">
        <is>
          <t>אמר"לים ותצפית</t>
        </is>
      </c>
      <c r="B26" s="21" t="inlineStr">
        <is>
          <t>אמר"ל אקילה 6*</t>
        </is>
      </c>
      <c r="C26" s="17" t="n"/>
      <c r="D26" s="17" t="n"/>
      <c r="E26" s="17" t="n"/>
      <c r="F26" s="17" t="n">
        <v>8</v>
      </c>
      <c r="G26" s="17" t="n"/>
      <c r="H26" s="17" t="n"/>
      <c r="I26" s="17" t="n"/>
      <c r="J26" s="17" t="n"/>
      <c r="K26" s="17">
        <f>SUM(C26:J26)</f>
        <v/>
      </c>
      <c r="L26" s="17" t="n">
        <v>8</v>
      </c>
      <c r="M26" s="17">
        <f>IF(L26="","",K26-L26)</f>
        <v/>
      </c>
      <c r="N26" s="22">
        <f>IF(OR(L26="",L26=0),"",K26/L26)</f>
        <v/>
      </c>
      <c r="O26" s="17">
        <f>IF(L26="","אין מצאי",IF(K26&lt;L26,"חוסר",IF(K26&gt;L26,"עודף","תקין")))</f>
        <v/>
      </c>
      <c r="P26" s="16" t="inlineStr"/>
      <c r="Q26" s="23">
        <f>IF(O26="חוסר",M26-ROW()/100000,IF(O26="עודף",M26+ROW()/100000,""))</f>
        <v/>
      </c>
    </row>
    <row r="27">
      <c r="A27" s="16" t="inlineStr">
        <is>
          <t>אמר"לים ותצפית</t>
        </is>
      </c>
      <c r="B27" s="21" t="inlineStr">
        <is>
          <t>אמר"ל דו עיני מיקרון</t>
        </is>
      </c>
      <c r="C27" s="17" t="n"/>
      <c r="D27" s="17" t="n"/>
      <c r="E27" s="17" t="n"/>
      <c r="F27" s="17" t="n"/>
      <c r="G27" s="17" t="n"/>
      <c r="H27" s="17" t="n"/>
      <c r="I27" s="17" t="n"/>
      <c r="J27" s="17" t="n">
        <v>8</v>
      </c>
      <c r="K27" s="17">
        <f>SUM(C27:J27)</f>
        <v/>
      </c>
      <c r="L27" s="17" t="n"/>
      <c r="M27" s="17">
        <f>IF(L27="","",K27-L27)</f>
        <v/>
      </c>
      <c r="N27" s="22">
        <f>IF(OR(L27="",L27=0),"",K27/L27)</f>
        <v/>
      </c>
      <c r="O27" s="17">
        <f>IF(L27="","אין מצאי",IF(K27&lt;L27,"חוסר",IF(K27&gt;L27,"עודף","תקין")))</f>
        <v/>
      </c>
      <c r="P27" s="16" t="inlineStr"/>
      <c r="Q27" s="23">
        <f>IF(O27="חוסר",M27-ROW()/100000,IF(O27="עודף",M27+ROW()/100000,""))</f>
        <v/>
      </c>
    </row>
    <row r="28">
      <c r="A28" s="16" t="inlineStr">
        <is>
          <t>אמר"לים ותצפית</t>
        </is>
      </c>
      <c r="B28" s="21" t="inlineStr">
        <is>
          <t>אמר"ל דו עיני עדי</t>
        </is>
      </c>
      <c r="C28" s="17" t="n">
        <v>2</v>
      </c>
      <c r="D28" s="17" t="n">
        <v>3</v>
      </c>
      <c r="E28" s="17" t="n">
        <v>3</v>
      </c>
      <c r="F28" s="17" t="n">
        <v>3</v>
      </c>
      <c r="G28" s="17" t="n">
        <v>12</v>
      </c>
      <c r="H28" s="17" t="n"/>
      <c r="I28" s="17" t="n"/>
      <c r="J28" s="17" t="n">
        <v>7</v>
      </c>
      <c r="K28" s="17">
        <f>SUM(C28:J28)</f>
        <v/>
      </c>
      <c r="L28" s="17" t="n">
        <v>30</v>
      </c>
      <c r="M28" s="17">
        <f>IF(L28="","",K28-L28)</f>
        <v/>
      </c>
      <c r="N28" s="22">
        <f>IF(OR(L28="",L28=0),"",K28/L28)</f>
        <v/>
      </c>
      <c r="O28" s="17">
        <f>IF(L28="","אין מצאי",IF(K28&lt;L28,"חוסר",IF(K28&gt;L28,"עודף","תקין")))</f>
        <v/>
      </c>
      <c r="P28" s="16" t="inlineStr"/>
      <c r="Q28" s="23">
        <f>IF(O28="חוסר",M28-ROW()/100000,IF(O28="עודף",M28+ROW()/100000,""))</f>
        <v/>
      </c>
    </row>
    <row r="29">
      <c r="A29" s="16" t="inlineStr">
        <is>
          <t>אמר"לים ותצפית</t>
        </is>
      </c>
      <c r="B29" s="21" t="inlineStr">
        <is>
          <t>אמר"ל דו עיני עידו</t>
        </is>
      </c>
      <c r="C29" s="17" t="n">
        <v>2</v>
      </c>
      <c r="D29" s="17" t="n">
        <v>2</v>
      </c>
      <c r="E29" s="17" t="n">
        <v>2</v>
      </c>
      <c r="F29" s="17" t="n">
        <v>2</v>
      </c>
      <c r="G29" s="17" t="n">
        <v>6</v>
      </c>
      <c r="H29" s="17" t="n">
        <v>2</v>
      </c>
      <c r="I29" s="17" t="n"/>
      <c r="J29" s="17" t="n">
        <v>0</v>
      </c>
      <c r="K29" s="17">
        <f>SUM(C29:J29)</f>
        <v/>
      </c>
      <c r="L29" s="17" t="n">
        <v>17</v>
      </c>
      <c r="M29" s="17">
        <f>IF(L29="","",K29-L29)</f>
        <v/>
      </c>
      <c r="N29" s="22">
        <f>IF(OR(L29="",L29=0),"",K29/L29)</f>
        <v/>
      </c>
      <c r="O29" s="17">
        <f>IF(L29="","אין מצאי",IF(K29&lt;L29,"חוסר",IF(K29&gt;L29,"עודף","תקין")))</f>
        <v/>
      </c>
      <c r="P29" s="16" t="inlineStr"/>
      <c r="Q29" s="23">
        <f>IF(O29="חוסר",M29-ROW()/100000,IF(O29="עודף",M29+ROW()/100000,""))</f>
        <v/>
      </c>
    </row>
    <row r="30">
      <c r="A30" s="16" t="inlineStr">
        <is>
          <t>אמר"לים ותצפית</t>
        </is>
      </c>
      <c r="B30" s="21" t="inlineStr">
        <is>
          <t>אמר"ל שח"מ</t>
        </is>
      </c>
      <c r="C30" s="17" t="n">
        <v>13</v>
      </c>
      <c r="D30" s="17" t="n">
        <v>18</v>
      </c>
      <c r="E30" s="17" t="n">
        <v>16</v>
      </c>
      <c r="F30" s="17" t="n">
        <v>12</v>
      </c>
      <c r="G30" s="17" t="n">
        <v>0</v>
      </c>
      <c r="H30" s="17" t="n">
        <v>1</v>
      </c>
      <c r="I30" s="17" t="n"/>
      <c r="J30" s="17" t="n">
        <v>13</v>
      </c>
      <c r="K30" s="17">
        <f>SUM(C30:J30)</f>
        <v/>
      </c>
      <c r="L30" s="17" t="n">
        <v>55</v>
      </c>
      <c r="M30" s="17">
        <f>IF(L30="","",K30-L30)</f>
        <v/>
      </c>
      <c r="N30" s="22">
        <f>IF(OR(L30="",L30=0),"",K30/L30)</f>
        <v/>
      </c>
      <c r="O30" s="17">
        <f>IF(L30="","אין מצאי",IF(K30&lt;L30,"חוסר",IF(K30&gt;L30,"עודף","תקין")))</f>
        <v/>
      </c>
      <c r="P30" s="16" t="inlineStr"/>
      <c r="Q30" s="23">
        <f>IF(O30="חוסר",M30-ROW()/100000,IF(O30="עודף",M30+ROW()/100000,""))</f>
        <v/>
      </c>
    </row>
    <row r="31">
      <c r="A31" s="16" t="inlineStr">
        <is>
          <t>אמר"לים ותצפית</t>
        </is>
      </c>
      <c r="B31" s="21" t="inlineStr">
        <is>
          <t>אמר"ל שח"ע</t>
        </is>
      </c>
      <c r="C31" s="17" t="n">
        <v>7</v>
      </c>
      <c r="D31" s="17" t="n">
        <v>10</v>
      </c>
      <c r="E31" s="17" t="n">
        <v>7</v>
      </c>
      <c r="F31" s="17" t="n">
        <v>8</v>
      </c>
      <c r="G31" s="17" t="n">
        <v>3</v>
      </c>
      <c r="H31" s="17" t="n">
        <v>4</v>
      </c>
      <c r="I31" s="17" t="n"/>
      <c r="J31" s="17" t="n">
        <v>8</v>
      </c>
      <c r="K31" s="17">
        <f>SUM(C31:J31)</f>
        <v/>
      </c>
      <c r="L31" s="17" t="n">
        <v>47</v>
      </c>
      <c r="M31" s="17">
        <f>IF(L31="","",K31-L31)</f>
        <v/>
      </c>
      <c r="N31" s="22">
        <f>IF(OR(L31="",L31=0),"",K31/L31)</f>
        <v/>
      </c>
      <c r="O31" s="17">
        <f>IF(L31="","אין מצאי",IF(K31&lt;L31,"חוסר",IF(K31&gt;L31,"עודף","תקין")))</f>
        <v/>
      </c>
      <c r="P31" s="16" t="inlineStr"/>
      <c r="Q31" s="23">
        <f>IF(O31="חוסר",M31-ROW()/100000,IF(O31="עודף",M31+ROW()/100000,""))</f>
        <v/>
      </c>
    </row>
    <row r="32">
      <c r="A32" s="16" t="inlineStr">
        <is>
          <t>אמר"לים ותצפית</t>
        </is>
      </c>
      <c r="B32" s="21" t="inlineStr">
        <is>
          <t>חצובה למאתר</t>
        </is>
      </c>
      <c r="C32" s="17" t="n"/>
      <c r="D32" s="17" t="n"/>
      <c r="E32" s="17" t="n"/>
      <c r="F32" s="17" t="n">
        <v>7</v>
      </c>
      <c r="G32" s="17" t="n"/>
      <c r="H32" s="17" t="n"/>
      <c r="I32" s="17" t="n"/>
      <c r="J32" s="17" t="n"/>
      <c r="K32" s="17">
        <f>SUM(C32:J32)</f>
        <v/>
      </c>
      <c r="L32" s="17" t="n"/>
      <c r="M32" s="17">
        <f>IF(L32="","",K32-L32)</f>
        <v/>
      </c>
      <c r="N32" s="22">
        <f>IF(OR(L32="",L32=0),"",K32/L32)</f>
        <v/>
      </c>
      <c r="O32" s="17">
        <f>IF(L32="","אין מצאי",IF(K32&lt;L32,"חוסר",IF(K32&gt;L32,"עודף","תקין")))</f>
        <v/>
      </c>
      <c r="P32" s="16" t="inlineStr"/>
      <c r="Q32" s="23">
        <f>IF(O32="חוסר",M32-ROW()/100000,IF(O32="עודף",M32+ROW()/100000,""))</f>
        <v/>
      </c>
    </row>
    <row r="33">
      <c r="A33" s="16" t="inlineStr">
        <is>
          <t>אמר"לים ותצפית</t>
        </is>
      </c>
      <c r="B33" s="21" t="inlineStr">
        <is>
          <t>חצובה לעמית</t>
        </is>
      </c>
      <c r="C33" s="17" t="n">
        <v>1</v>
      </c>
      <c r="D33" s="17" t="n"/>
      <c r="E33" s="17" t="n"/>
      <c r="F33" s="17" t="n"/>
      <c r="G33" s="17" t="n"/>
      <c r="H33" s="17" t="n"/>
      <c r="I33" s="17" t="n"/>
      <c r="J33" s="17" t="n">
        <v>6</v>
      </c>
      <c r="K33" s="17">
        <f>SUM(C33:J33)</f>
        <v/>
      </c>
      <c r="L33" s="17" t="n"/>
      <c r="M33" s="17">
        <f>IF(L33="","",K33-L33)</f>
        <v/>
      </c>
      <c r="N33" s="22">
        <f>IF(OR(L33="",L33=0),"",K33/L33)</f>
        <v/>
      </c>
      <c r="O33" s="17">
        <f>IF(L33="","אין מצאי",IF(K33&lt;L33,"חוסר",IF(K33&gt;L33,"עודף","תקין")))</f>
        <v/>
      </c>
      <c r="P33" s="16" t="inlineStr"/>
      <c r="Q33" s="23">
        <f>IF(O33="חוסר",M33-ROW()/100000,IF(O33="עודף",M33+ROW()/100000,""))</f>
        <v/>
      </c>
    </row>
    <row r="34">
      <c r="A34" s="16" t="inlineStr">
        <is>
          <t>אמר"לים ותצפית</t>
        </is>
      </c>
      <c r="B34" s="21" t="inlineStr">
        <is>
          <t>ישל"ט אורלי גיל</t>
        </is>
      </c>
      <c r="C34" s="17" t="n"/>
      <c r="D34" s="17" t="n"/>
      <c r="E34" s="17" t="n"/>
      <c r="F34" s="17" t="n">
        <v>2</v>
      </c>
      <c r="G34" s="17" t="n"/>
      <c r="H34" s="17" t="n"/>
      <c r="I34" s="17" t="n"/>
      <c r="J34" s="17" t="n"/>
      <c r="K34" s="17">
        <f>SUM(C34:J34)</f>
        <v/>
      </c>
      <c r="L34" s="17" t="n">
        <v>2</v>
      </c>
      <c r="M34" s="17">
        <f>IF(L34="","",K34-L34)</f>
        <v/>
      </c>
      <c r="N34" s="22">
        <f>IF(OR(L34="",L34=0),"",K34/L34)</f>
        <v/>
      </c>
      <c r="O34" s="17">
        <f>IF(L34="","אין מצאי",IF(K34&lt;L34,"חוסר",IF(K34&gt;L34,"עודף","תקין")))</f>
        <v/>
      </c>
      <c r="P34" s="16" t="inlineStr"/>
      <c r="Q34" s="23">
        <f>IF(O34="חוסר",M34-ROW()/100000,IF(O34="עודף",M34+ROW()/100000,""))</f>
        <v/>
      </c>
    </row>
    <row r="35">
      <c r="A35" s="16" t="inlineStr">
        <is>
          <t>אמר"לים ותצפית</t>
        </is>
      </c>
      <c r="B35" s="21" t="inlineStr">
        <is>
          <t>ליאור</t>
        </is>
      </c>
      <c r="C35" s="17" t="n">
        <v>10</v>
      </c>
      <c r="D35" s="17" t="n">
        <v>11</v>
      </c>
      <c r="E35" s="17" t="n">
        <v>8</v>
      </c>
      <c r="F35" s="17" t="n">
        <v>8</v>
      </c>
      <c r="G35" s="17" t="n">
        <v>4</v>
      </c>
      <c r="H35" s="17" t="n"/>
      <c r="I35" s="17" t="n"/>
      <c r="J35" s="17" t="n">
        <v>4</v>
      </c>
      <c r="K35" s="17">
        <f>SUM(C35:J35)</f>
        <v/>
      </c>
      <c r="L35" s="17" t="n">
        <v>57</v>
      </c>
      <c r="M35" s="17">
        <f>IF(L35="","",K35-L35)</f>
        <v/>
      </c>
      <c r="N35" s="22">
        <f>IF(OR(L35="",L35=0),"",K35/L35)</f>
        <v/>
      </c>
      <c r="O35" s="17">
        <f>IF(L35="","אין מצאי",IF(K35&lt;L35,"חוסר",IF(K35&gt;L35,"עודף","תקין")))</f>
        <v/>
      </c>
      <c r="P35" s="16" t="inlineStr"/>
      <c r="Q35" s="23">
        <f>IF(O35="חוסר",M35-ROW()/100000,IF(O35="עודף",M35+ROW()/100000,""))</f>
        <v/>
      </c>
    </row>
    <row r="36">
      <c r="A36" s="16" t="inlineStr">
        <is>
          <t>אמר"לים ותצפית</t>
        </is>
      </c>
      <c r="B36" s="21" t="inlineStr">
        <is>
          <t>מאתר</t>
        </is>
      </c>
      <c r="C36" s="17" t="n"/>
      <c r="D36" s="17" t="n"/>
      <c r="E36" s="17" t="n"/>
      <c r="F36" s="17" t="n">
        <v>10</v>
      </c>
      <c r="G36" s="17" t="n"/>
      <c r="H36" s="17" t="n"/>
      <c r="I36" s="17" t="n"/>
      <c r="J36" s="17" t="n"/>
      <c r="K36" s="17">
        <f>SUM(C36:J36)</f>
        <v/>
      </c>
      <c r="L36" s="17" t="n"/>
      <c r="M36" s="17">
        <f>IF(L36="","",K36-L36)</f>
        <v/>
      </c>
      <c r="N36" s="22">
        <f>IF(OR(L36="",L36=0),"",K36/L36)</f>
        <v/>
      </c>
      <c r="O36" s="17">
        <f>IF(L36="","אין מצאי",IF(K36&lt;L36,"חוסר",IF(K36&gt;L36,"עודף","תקין")))</f>
        <v/>
      </c>
      <c r="P36" s="16" t="inlineStr"/>
      <c r="Q36" s="23">
        <f>IF(O36="חוסר",M36-ROW()/100000,IF(O36="עודף",M36+ROW()/100000,""))</f>
        <v/>
      </c>
    </row>
    <row r="37">
      <c r="A37" s="16" t="inlineStr">
        <is>
          <t>אמר"לים ותצפית</t>
        </is>
      </c>
      <c r="B37" s="21" t="inlineStr">
        <is>
          <t>מיני תבל נשלט</t>
        </is>
      </c>
      <c r="C37" s="17" t="n"/>
      <c r="D37" s="17" t="n"/>
      <c r="E37" s="17" t="n"/>
      <c r="F37" s="17" t="n">
        <v>1</v>
      </c>
      <c r="G37" s="17" t="n"/>
      <c r="H37" s="17" t="n"/>
      <c r="I37" s="17" t="n"/>
      <c r="J37" s="17" t="n"/>
      <c r="K37" s="17">
        <f>SUM(C37:J37)</f>
        <v/>
      </c>
      <c r="L37" s="17" t="n">
        <v>1</v>
      </c>
      <c r="M37" s="17">
        <f>IF(L37="","",K37-L37)</f>
        <v/>
      </c>
      <c r="N37" s="22">
        <f>IF(OR(L37="",L37=0),"",K37/L37)</f>
        <v/>
      </c>
      <c r="O37" s="17">
        <f>IF(L37="","אין מצאי",IF(K37&lt;L37,"חוסר",IF(K37&gt;L37,"עודף","תקין")))</f>
        <v/>
      </c>
      <c r="P37" s="16" t="inlineStr"/>
      <c r="Q37" s="23">
        <f>IF(O37="חוסר",M37-ROW()/100000,IF(O37="עודף",M37+ROW()/100000,""))</f>
        <v/>
      </c>
    </row>
    <row r="38">
      <c r="A38" s="16" t="inlineStr">
        <is>
          <t>אמר"לים ותצפית</t>
        </is>
      </c>
      <c r="B38" s="21" t="inlineStr">
        <is>
          <t>מכבים</t>
        </is>
      </c>
      <c r="C38" s="17" t="n">
        <v>2</v>
      </c>
      <c r="D38" s="17" t="n">
        <v>3</v>
      </c>
      <c r="E38" s="17" t="n">
        <v>3</v>
      </c>
      <c r="F38" s="17" t="n">
        <v>3</v>
      </c>
      <c r="G38" s="17" t="n">
        <v>1</v>
      </c>
      <c r="H38" s="17" t="n"/>
      <c r="I38" s="17" t="n"/>
      <c r="J38" s="17" t="n">
        <v>1</v>
      </c>
      <c r="K38" s="17">
        <f>SUM(C38:J38)</f>
        <v/>
      </c>
      <c r="L38" s="17" t="n">
        <v>13</v>
      </c>
      <c r="M38" s="17">
        <f>IF(L38="","",K38-L38)</f>
        <v/>
      </c>
      <c r="N38" s="22">
        <f>IF(OR(L38="",L38=0),"",K38/L38)</f>
        <v/>
      </c>
      <c r="O38" s="17">
        <f>IF(L38="","אין מצאי",IF(K38&lt;L38,"חוסר",IF(K38&gt;L38,"עודף","תקין")))</f>
        <v/>
      </c>
      <c r="P38" s="16" t="inlineStr"/>
      <c r="Q38" s="23">
        <f>IF(O38="חוסר",M38-ROW()/100000,IF(O38="עודף",M38+ROW()/100000,""))</f>
        <v/>
      </c>
    </row>
    <row r="39">
      <c r="A39" s="16" t="inlineStr">
        <is>
          <t>אמר"לים ותצפית</t>
        </is>
      </c>
      <c r="B39" s="21" t="inlineStr">
        <is>
          <t>מכבית</t>
        </is>
      </c>
      <c r="C39" s="17" t="n">
        <v>2</v>
      </c>
      <c r="D39" s="17" t="n">
        <v>2</v>
      </c>
      <c r="E39" s="17" t="n">
        <v>2</v>
      </c>
      <c r="F39" s="17" t="n">
        <v>2</v>
      </c>
      <c r="G39" s="17" t="n"/>
      <c r="H39" s="17" t="n"/>
      <c r="I39" s="17" t="n"/>
      <c r="J39" s="17" t="n">
        <v>4</v>
      </c>
      <c r="K39" s="17">
        <f>SUM(C39:J39)</f>
        <v/>
      </c>
      <c r="L39" s="17" t="n">
        <v>14</v>
      </c>
      <c r="M39" s="17">
        <f>IF(L39="","",K39-L39)</f>
        <v/>
      </c>
      <c r="N39" s="22">
        <f>IF(OR(L39="",L39=0),"",K39/L39)</f>
        <v/>
      </c>
      <c r="O39" s="17">
        <f>IF(L39="","אין מצאי",IF(K39&lt;L39,"חוסר",IF(K39&gt;L39,"עודף","תקין")))</f>
        <v/>
      </c>
      <c r="P39" s="16" t="inlineStr"/>
      <c r="Q39" s="23">
        <f>IF(O39="חוסר",M39-ROW()/100000,IF(O39="עודף",M39+ROW()/100000,""))</f>
        <v/>
      </c>
    </row>
    <row r="40">
      <c r="A40" s="16" t="inlineStr">
        <is>
          <t>אמר"לים ותצפית</t>
        </is>
      </c>
      <c r="B40" s="21" t="inlineStr">
        <is>
          <t>מצפן</t>
        </is>
      </c>
      <c r="C40" s="17" t="n">
        <v>6</v>
      </c>
      <c r="D40" s="17" t="n">
        <v>9</v>
      </c>
      <c r="E40" s="17" t="n">
        <v>6</v>
      </c>
      <c r="F40" s="17" t="n">
        <v>13</v>
      </c>
      <c r="G40" s="17" t="n"/>
      <c r="H40" s="17" t="n">
        <v>5</v>
      </c>
      <c r="I40" s="17" t="n"/>
      <c r="J40" s="17" t="n">
        <v>60</v>
      </c>
      <c r="K40" s="17">
        <f>SUM(C40:J40)</f>
        <v/>
      </c>
      <c r="L40" s="17" t="n"/>
      <c r="M40" s="17">
        <f>IF(L40="","",K40-L40)</f>
        <v/>
      </c>
      <c r="N40" s="22">
        <f>IF(OR(L40="",L40=0),"",K40/L40)</f>
        <v/>
      </c>
      <c r="O40" s="17">
        <f>IF(L40="","אין מצאי",IF(K40&lt;L40,"חוסר",IF(K40&gt;L40,"עודף","תקין")))</f>
        <v/>
      </c>
      <c r="P40" s="16" t="inlineStr"/>
      <c r="Q40" s="23">
        <f>IF(O40="חוסר",M40-ROW()/100000,IF(O40="עודף",M40+ROW()/100000,""))</f>
        <v/>
      </c>
    </row>
    <row r="41">
      <c r="A41" s="16" t="inlineStr">
        <is>
          <t>אמר"לים ותצפית</t>
        </is>
      </c>
      <c r="B41" s="21" t="inlineStr">
        <is>
          <t>משקפת</t>
        </is>
      </c>
      <c r="C41" s="17" t="n">
        <v>6</v>
      </c>
      <c r="D41" s="17" t="n">
        <v>10</v>
      </c>
      <c r="E41" s="17" t="n">
        <v>7</v>
      </c>
      <c r="F41" s="17" t="n">
        <v>11</v>
      </c>
      <c r="G41" s="17" t="n">
        <v>1</v>
      </c>
      <c r="H41" s="17" t="n">
        <v>3</v>
      </c>
      <c r="I41" s="17" t="n"/>
      <c r="J41" s="17" t="n">
        <v>66</v>
      </c>
      <c r="K41" s="17">
        <f>SUM(C41:J41)</f>
        <v/>
      </c>
      <c r="L41" s="17" t="n"/>
      <c r="M41" s="17">
        <f>IF(L41="","",K41-L41)</f>
        <v/>
      </c>
      <c r="N41" s="22">
        <f>IF(OR(L41="",L41=0),"",K41/L41)</f>
        <v/>
      </c>
      <c r="O41" s="17">
        <f>IF(L41="","אין מצאי",IF(K41&lt;L41,"חוסר",IF(K41&gt;L41,"עודף","תקין")))</f>
        <v/>
      </c>
      <c r="P41" s="16" t="inlineStr"/>
      <c r="Q41" s="23">
        <f>IF(O41="חוסר",M41-ROW()/100000,IF(O41="עודף",M41+ROW()/100000,""))</f>
        <v/>
      </c>
    </row>
    <row r="42">
      <c r="A42" s="16" t="inlineStr">
        <is>
          <t>אמר"לים ותצפית</t>
        </is>
      </c>
      <c r="B42" s="21" t="inlineStr">
        <is>
          <t>עמית</t>
        </is>
      </c>
      <c r="C42" s="17" t="n">
        <v>1</v>
      </c>
      <c r="D42" s="17" t="n">
        <v>2</v>
      </c>
      <c r="E42" s="17" t="n">
        <v>1</v>
      </c>
      <c r="F42" s="17" t="n">
        <v>1</v>
      </c>
      <c r="G42" s="17" t="n"/>
      <c r="H42" s="17" t="n"/>
      <c r="I42" s="17" t="n"/>
      <c r="J42" s="17" t="n">
        <v>1</v>
      </c>
      <c r="K42" s="17">
        <f>SUM(C42:J42)</f>
        <v/>
      </c>
      <c r="L42" s="17" t="n">
        <v>6</v>
      </c>
      <c r="M42" s="17">
        <f>IF(L42="","",K42-L42)</f>
        <v/>
      </c>
      <c r="N42" s="22">
        <f>IF(OR(L42="",L42=0),"",K42/L42)</f>
        <v/>
      </c>
      <c r="O42" s="17">
        <f>IF(L42="","אין מצאי",IF(K42&lt;L42,"חוסר",IF(K42&gt;L42,"עודף","תקין")))</f>
        <v/>
      </c>
      <c r="P42" s="16" t="inlineStr"/>
      <c r="Q42" s="23">
        <f>IF(O42="חוסר",M42-ROW()/100000,IF(O42="עודף",M42+ROW()/100000,""))</f>
        <v/>
      </c>
    </row>
    <row r="43">
      <c r="A43" s="16" t="inlineStr">
        <is>
          <t>אמר"לים ותצפית</t>
        </is>
      </c>
      <c r="B43" s="21" t="inlineStr">
        <is>
          <t>עמית איכון</t>
        </is>
      </c>
      <c r="C43" s="17" t="n"/>
      <c r="D43" s="17" t="n"/>
      <c r="E43" s="17" t="n"/>
      <c r="F43" s="17" t="n">
        <v>1</v>
      </c>
      <c r="G43" s="17" t="n"/>
      <c r="H43" s="17" t="n"/>
      <c r="I43" s="17" t="n"/>
      <c r="J43" s="17" t="n">
        <v>1</v>
      </c>
      <c r="K43" s="17">
        <f>SUM(C43:J43)</f>
        <v/>
      </c>
      <c r="L43" s="17" t="n">
        <v>2</v>
      </c>
      <c r="M43" s="17">
        <f>IF(L43="","",K43-L43)</f>
        <v/>
      </c>
      <c r="N43" s="22">
        <f>IF(OR(L43="",L43=0),"",K43/L43)</f>
        <v/>
      </c>
      <c r="O43" s="17">
        <f>IF(L43="","אין מצאי",IF(K43&lt;L43,"חוסר",IF(K43&gt;L43,"עודף","תקין")))</f>
        <v/>
      </c>
      <c r="P43" s="16" t="inlineStr"/>
      <c r="Q43" s="23">
        <f>IF(O43="חוסר",M43-ROW()/100000,IF(O43="עודף",M43+ROW()/100000,""))</f>
        <v/>
      </c>
    </row>
    <row r="44">
      <c r="A44" s="16" t="inlineStr">
        <is>
          <t>אמר"לים ותצפית</t>
        </is>
      </c>
      <c r="B44" s="21" t="inlineStr">
        <is>
          <t>ערמון</t>
        </is>
      </c>
      <c r="C44" s="17" t="n">
        <v>1</v>
      </c>
      <c r="D44" s="17" t="n"/>
      <c r="E44" s="17" t="n"/>
      <c r="F44" s="17" t="n"/>
      <c r="G44" s="17" t="n">
        <v>1</v>
      </c>
      <c r="H44" s="17" t="n"/>
      <c r="I44" s="17" t="n"/>
      <c r="J44" s="17" t="n"/>
      <c r="K44" s="17">
        <f>SUM(C44:J44)</f>
        <v/>
      </c>
      <c r="L44" s="17" t="n">
        <v>2</v>
      </c>
      <c r="M44" s="17">
        <f>IF(L44="","",K44-L44)</f>
        <v/>
      </c>
      <c r="N44" s="22">
        <f>IF(OR(L44="",L44=0),"",K44/L44)</f>
        <v/>
      </c>
      <c r="O44" s="17">
        <f>IF(L44="","אין מצאי",IF(K44&lt;L44,"חוסר",IF(K44&gt;L44,"עודף","תקין")))</f>
        <v/>
      </c>
      <c r="P44" s="16" t="inlineStr"/>
      <c r="Q44" s="23">
        <f>IF(O44="חוסר",M44-ROW()/100000,IF(O44="עודף",M44+ROW()/100000,""))</f>
        <v/>
      </c>
    </row>
    <row r="45">
      <c r="A45" s="16" t="inlineStr">
        <is>
          <t>אמר"לים ותצפית</t>
        </is>
      </c>
      <c r="B45" s="21" t="inlineStr">
        <is>
          <t>שבשבת רוח</t>
        </is>
      </c>
      <c r="C45" s="17" t="n"/>
      <c r="D45" s="17" t="n"/>
      <c r="E45" s="17" t="n"/>
      <c r="F45" s="17" t="n">
        <v>5</v>
      </c>
      <c r="G45" s="17" t="n"/>
      <c r="H45" s="17" t="n"/>
      <c r="I45" s="17" t="n"/>
      <c r="J45" s="17" t="n"/>
      <c r="K45" s="17">
        <f>SUM(C45:J45)</f>
        <v/>
      </c>
      <c r="L45" s="17" t="n"/>
      <c r="M45" s="17">
        <f>IF(L45="","",K45-L45)</f>
        <v/>
      </c>
      <c r="N45" s="22">
        <f>IF(OR(L45="",L45=0),"",K45/L45)</f>
        <v/>
      </c>
      <c r="O45" s="17">
        <f>IF(L45="","אין מצאי",IF(K45&lt;L45,"חוסר",IF(K45&gt;L45,"עודף","תקין")))</f>
        <v/>
      </c>
      <c r="P45" s="16" t="inlineStr"/>
      <c r="Q45" s="23">
        <f>IF(O45="חוסר",M45-ROW()/100000,IF(O45="עודף",M45+ROW()/100000,""))</f>
        <v/>
      </c>
    </row>
    <row r="46">
      <c r="A46" s="16" t="inlineStr">
        <is>
          <t>סמנים ומציינים</t>
        </is>
      </c>
      <c r="B46" s="21" t="inlineStr">
        <is>
          <t>סמן לייזר למפקד דיויד</t>
        </is>
      </c>
      <c r="C46" s="17" t="n"/>
      <c r="D46" s="17" t="n">
        <v>2</v>
      </c>
      <c r="E46" s="17" t="n">
        <v>1</v>
      </c>
      <c r="F46" s="17" t="n">
        <v>1</v>
      </c>
      <c r="G46" s="17" t="n"/>
      <c r="H46" s="17" t="n">
        <v>1</v>
      </c>
      <c r="I46" s="17" t="n"/>
      <c r="J46" s="17" t="n">
        <v>10</v>
      </c>
      <c r="K46" s="17">
        <f>SUM(C46:J46)</f>
        <v/>
      </c>
      <c r="L46" s="17" t="n">
        <v>16</v>
      </c>
      <c r="M46" s="17">
        <f>IF(L46="","",K46-L46)</f>
        <v/>
      </c>
      <c r="N46" s="22">
        <f>IF(OR(L46="",L46=0),"",K46/L46)</f>
        <v/>
      </c>
      <c r="O46" s="17">
        <f>IF(L46="","אין מצאי",IF(K46&lt;L46,"חוסר",IF(K46&gt;L46,"עודף","תקין")))</f>
        <v/>
      </c>
      <c r="P46" s="16" t="inlineStr"/>
      <c r="Q46" s="23">
        <f>IF(O46="חוסר",M46-ROW()/100000,IF(O46="עודף",M46+ROW()/100000,""))</f>
        <v/>
      </c>
    </row>
    <row r="47">
      <c r="A47" s="16" t="inlineStr">
        <is>
          <t>סמנים ומציינים</t>
        </is>
      </c>
      <c r="B47" s="21" t="inlineStr">
        <is>
          <t>סמן מפקדים LPL</t>
        </is>
      </c>
      <c r="C47" s="17" t="n"/>
      <c r="D47" s="17" t="n"/>
      <c r="E47" s="17" t="n"/>
      <c r="F47" s="17" t="n">
        <v>3</v>
      </c>
      <c r="G47" s="17" t="n"/>
      <c r="H47" s="17" t="n"/>
      <c r="I47" s="17" t="n"/>
      <c r="J47" s="17" t="n"/>
      <c r="K47" s="17">
        <f>SUM(C47:J47)</f>
        <v/>
      </c>
      <c r="L47" s="17" t="n">
        <v>3</v>
      </c>
      <c r="M47" s="17">
        <f>IF(L47="","",K47-L47)</f>
        <v/>
      </c>
      <c r="N47" s="22">
        <f>IF(OR(L47="",L47=0),"",K47/L47)</f>
        <v/>
      </c>
      <c r="O47" s="17">
        <f>IF(L47="","אין מצאי",IF(K47&lt;L47,"חוסר",IF(K47&gt;L47,"עודף","תקין")))</f>
        <v/>
      </c>
      <c r="P47" s="16" t="inlineStr"/>
      <c r="Q47" s="23">
        <f>IF(O47="חוסר",M47-ROW()/100000,IF(O47="עודף",M47+ROW()/100000,""))</f>
        <v/>
      </c>
    </row>
    <row r="48">
      <c r="A48" s="16" t="inlineStr">
        <is>
          <t>סמנים ומציינים</t>
        </is>
      </c>
      <c r="B48" s="21" t="inlineStr">
        <is>
          <t>סמן תרמי נטלי</t>
        </is>
      </c>
      <c r="C48" s="17" t="n">
        <v>1</v>
      </c>
      <c r="D48" s="17" t="n">
        <v>2</v>
      </c>
      <c r="E48" s="17" t="n">
        <v>0</v>
      </c>
      <c r="F48" s="17" t="n"/>
      <c r="G48" s="17" t="n"/>
      <c r="H48" s="17" t="n"/>
      <c r="I48" s="17" t="n"/>
      <c r="J48" s="17" t="n"/>
      <c r="K48" s="17">
        <f>SUM(C48:J48)</f>
        <v/>
      </c>
      <c r="L48" s="17" t="n">
        <v>3</v>
      </c>
      <c r="M48" s="17">
        <f>IF(L48="","",K48-L48)</f>
        <v/>
      </c>
      <c r="N48" s="22">
        <f>IF(OR(L48="",L48=0),"",K48/L48)</f>
        <v/>
      </c>
      <c r="O48" s="17">
        <f>IF(L48="","אין מצאי",IF(K48&lt;L48,"חוסר",IF(K48&gt;L48,"עודף","תקין")))</f>
        <v/>
      </c>
      <c r="P48" s="16" t="inlineStr"/>
      <c r="Q48" s="23">
        <f>IF(O48="חוסר",M48-ROW()/100000,IF(O48="עודף",M48+ROW()/100000,""))</f>
        <v/>
      </c>
    </row>
    <row r="49">
      <c r="A49" s="16" t="inlineStr">
        <is>
          <t>סמנים ומציינים</t>
        </is>
      </c>
      <c r="B49" s="21" t="inlineStr">
        <is>
          <t>ציין לנגב</t>
        </is>
      </c>
      <c r="C49" s="17" t="n">
        <v>1</v>
      </c>
      <c r="D49" s="17" t="n">
        <v>3</v>
      </c>
      <c r="E49" s="17" t="n"/>
      <c r="F49" s="17" t="n"/>
      <c r="G49" s="17" t="n"/>
      <c r="H49" s="17" t="n"/>
      <c r="I49" s="17" t="n"/>
      <c r="J49" s="17" t="n">
        <v>7</v>
      </c>
      <c r="K49" s="17">
        <f>SUM(C49:J49)</f>
        <v/>
      </c>
      <c r="L49" s="17" t="n">
        <v>31</v>
      </c>
      <c r="M49" s="17">
        <f>IF(L49="","",K49-L49)</f>
        <v/>
      </c>
      <c r="N49" s="22">
        <f>IF(OR(L49="",L49=0),"",K49/L49)</f>
        <v/>
      </c>
      <c r="O49" s="17">
        <f>IF(L49="","אין מצאי",IF(K49&lt;L49,"חוסר",IF(K49&gt;L49,"עודף","תקין")))</f>
        <v/>
      </c>
      <c r="P49" s="16" t="inlineStr"/>
      <c r="Q49" s="23">
        <f>IF(O49="חוסר",M49-ROW()/100000,IF(O49="עודף",M49+ROW()/100000,""))</f>
        <v/>
      </c>
    </row>
    <row r="50">
      <c r="A50" s="16" t="inlineStr">
        <is>
          <t>מט"ל ואבזור</t>
        </is>
      </c>
      <c r="B50" s="21" t="inlineStr">
        <is>
          <t>חצובה זיקית (אזרחי)</t>
        </is>
      </c>
      <c r="C50" s="17" t="n"/>
      <c r="D50" s="17" t="n"/>
      <c r="E50" s="17" t="n"/>
      <c r="F50" s="17" t="n">
        <v>4</v>
      </c>
      <c r="G50" s="17" t="n"/>
      <c r="H50" s="17" t="n"/>
      <c r="I50" s="17" t="n"/>
      <c r="J50" s="17" t="n"/>
      <c r="K50" s="17">
        <f>SUM(C50:J50)</f>
        <v/>
      </c>
      <c r="L50" s="17" t="n"/>
      <c r="M50" s="17">
        <f>IF(L50="","",K50-L50)</f>
        <v/>
      </c>
      <c r="N50" s="22">
        <f>IF(OR(L50="",L50=0),"",K50/L50)</f>
        <v/>
      </c>
      <c r="O50" s="17">
        <f>IF(L50="","אין מצאי",IF(K50&lt;L50,"חוסר",IF(K50&gt;L50,"עודף","תקין")))</f>
        <v/>
      </c>
      <c r="P50" s="16" t="inlineStr"/>
      <c r="Q50" s="23">
        <f>IF(O50="חוסר",M50-ROW()/100000,IF(O50="עודף",M50+ROW()/100000,""))</f>
        <v/>
      </c>
    </row>
    <row r="51">
      <c r="A51" s="16" t="inlineStr">
        <is>
          <t>מט"ל ואבזור</t>
        </is>
      </c>
      <c r="B51" s="21" t="inlineStr">
        <is>
          <t>חצובה לזום (אזרחי)</t>
        </is>
      </c>
      <c r="C51" s="17" t="n"/>
      <c r="D51" s="17" t="n"/>
      <c r="E51" s="17" t="n"/>
      <c r="F51" s="17" t="n">
        <v>11</v>
      </c>
      <c r="G51" s="17" t="n"/>
      <c r="H51" s="17" t="n"/>
      <c r="I51" s="17" t="n"/>
      <c r="J51" s="17" t="n"/>
      <c r="K51" s="17">
        <f>SUM(C51:J51)</f>
        <v/>
      </c>
      <c r="L51" s="17" t="n"/>
      <c r="M51" s="17">
        <f>IF(L51="","",K51-L51)</f>
        <v/>
      </c>
      <c r="N51" s="22">
        <f>IF(OR(L51="",L51=0),"",K51/L51)</f>
        <v/>
      </c>
      <c r="O51" s="17">
        <f>IF(L51="","אין מצאי",IF(K51&lt;L51,"חוסר",IF(K51&gt;L51,"עודף","תקין")))</f>
        <v/>
      </c>
      <c r="P51" s="16" t="inlineStr"/>
      <c r="Q51" s="23">
        <f>IF(O51="חוסר",M51-ROW()/100000,IF(O51="עודף",M51+ROW()/100000,""))</f>
        <v/>
      </c>
    </row>
    <row r="52">
      <c r="A52" s="16" t="inlineStr">
        <is>
          <t>מט"ל ואבזור</t>
        </is>
      </c>
      <c r="B52" s="21" t="inlineStr">
        <is>
          <t>חצובה מעגל סגור (אזרחי)</t>
        </is>
      </c>
      <c r="C52" s="17" t="n"/>
      <c r="D52" s="17" t="n"/>
      <c r="E52" s="17" t="n"/>
      <c r="F52" s="17" t="n">
        <v>6</v>
      </c>
      <c r="G52" s="17" t="n"/>
      <c r="H52" s="17" t="n"/>
      <c r="I52" s="17" t="n"/>
      <c r="J52" s="17" t="n"/>
      <c r="K52" s="17">
        <f>SUM(C52:J52)</f>
        <v/>
      </c>
      <c r="L52" s="17" t="n"/>
      <c r="M52" s="17">
        <f>IF(L52="","",K52-L52)</f>
        <v/>
      </c>
      <c r="N52" s="22">
        <f>IF(OR(L52="",L52=0),"",K52/L52)</f>
        <v/>
      </c>
      <c r="O52" s="17">
        <f>IF(L52="","אין מצאי",IF(K52&lt;L52,"חוסר",IF(K52&gt;L52,"עודף","תקין")))</f>
        <v/>
      </c>
      <c r="P52" s="16" t="inlineStr"/>
      <c r="Q52" s="23">
        <f>IF(O52="חוסר",M52-ROW()/100000,IF(O52="עודף",M52+ROW()/100000,""))</f>
        <v/>
      </c>
    </row>
    <row r="53">
      <c r="A53" s="16" t="inlineStr">
        <is>
          <t>מט"ל ואבזור</t>
        </is>
      </c>
      <c r="B53" s="21" t="inlineStr">
        <is>
          <t>מט"ל מ"מ</t>
        </is>
      </c>
      <c r="C53" s="17" t="n">
        <v>3</v>
      </c>
      <c r="D53" s="17" t="n">
        <v>5</v>
      </c>
      <c r="E53" s="17" t="n">
        <v>4</v>
      </c>
      <c r="F53" s="17" t="n">
        <v>4</v>
      </c>
      <c r="G53" s="17" t="n"/>
      <c r="H53" s="17" t="n"/>
      <c r="I53" s="17" t="n"/>
      <c r="J53" s="17" t="n">
        <v>3</v>
      </c>
      <c r="K53" s="17">
        <f>SUM(C53:J53)</f>
        <v/>
      </c>
      <c r="L53" s="17" t="n">
        <v>19</v>
      </c>
      <c r="M53" s="17">
        <f>IF(L53="","",K53-L53)</f>
        <v/>
      </c>
      <c r="N53" s="22">
        <f>IF(OR(L53="",L53=0),"",K53/L53)</f>
        <v/>
      </c>
      <c r="O53" s="17">
        <f>IF(L53="","אין מצאי",IF(K53&lt;L53,"חוסר",IF(K53&gt;L53,"עודף","תקין")))</f>
        <v/>
      </c>
      <c r="P53" s="16" t="inlineStr"/>
      <c r="Q53" s="23">
        <f>IF(O53="חוסר",M53-ROW()/100000,IF(O53="עודף",M53+ROW()/100000,""))</f>
        <v/>
      </c>
    </row>
    <row r="54">
      <c r="A54" s="16" t="inlineStr">
        <is>
          <t>מט"ל ואבזור</t>
        </is>
      </c>
      <c r="B54" s="21" t="inlineStr">
        <is>
          <t>מטל ממ VORTEX (אזרחי)</t>
        </is>
      </c>
      <c r="C54" s="17" t="n"/>
      <c r="D54" s="17" t="n"/>
      <c r="E54" s="17" t="n"/>
      <c r="F54" s="17" t="n">
        <v>5</v>
      </c>
      <c r="G54" s="17" t="n"/>
      <c r="H54" s="17" t="n"/>
      <c r="I54" s="17" t="n"/>
      <c r="J54" s="17" t="n"/>
      <c r="K54" s="17">
        <f>SUM(C54:J54)</f>
        <v/>
      </c>
      <c r="L54" s="17" t="n"/>
      <c r="M54" s="17">
        <f>IF(L54="","",K54-L54)</f>
        <v/>
      </c>
      <c r="N54" s="22">
        <f>IF(OR(L54="",L54=0),"",K54/L54)</f>
        <v/>
      </c>
      <c r="O54" s="17">
        <f>IF(L54="","אין מצאי",IF(K54&lt;L54,"חוסר",IF(K54&gt;L54,"עודף","תקין")))</f>
        <v/>
      </c>
      <c r="P54" s="16" t="inlineStr"/>
      <c r="Q54" s="23">
        <f>IF(O54="חוסר",M54-ROW()/100000,IF(O54="עודף",M54+ROW()/100000,""))</f>
        <v/>
      </c>
    </row>
    <row r="55">
      <c r="A55" s="16" t="inlineStr">
        <is>
          <t>מט"ל ואבזור</t>
        </is>
      </c>
      <c r="B55" s="21" t="inlineStr">
        <is>
          <t>ממיר מתח לעמית</t>
        </is>
      </c>
      <c r="C55" s="17" t="n">
        <v>1</v>
      </c>
      <c r="D55" s="17" t="n">
        <v>2</v>
      </c>
      <c r="E55" s="17" t="n">
        <v>1</v>
      </c>
      <c r="F55" s="17" t="n">
        <v>2</v>
      </c>
      <c r="G55" s="17" t="n"/>
      <c r="H55" s="17" t="n"/>
      <c r="I55" s="17" t="n"/>
      <c r="J55" s="17" t="n">
        <v>3</v>
      </c>
      <c r="K55" s="17">
        <f>SUM(C55:J55)</f>
        <v/>
      </c>
      <c r="L55" s="17" t="n"/>
      <c r="M55" s="17">
        <f>IF(L55="","",K55-L55)</f>
        <v/>
      </c>
      <c r="N55" s="22">
        <f>IF(OR(L55="",L55=0),"",K55/L55)</f>
        <v/>
      </c>
      <c r="O55" s="17">
        <f>IF(L55="","אין מצאי",IF(K55&lt;L55,"חוסר",IF(K55&gt;L55,"עודף","תקין")))</f>
        <v/>
      </c>
      <c r="P55" s="16" t="inlineStr"/>
      <c r="Q55" s="23">
        <f>IF(O55="חוסר",M55-ROW()/100000,IF(O55="עודף",M55+ROW()/100000,""))</f>
        <v/>
      </c>
    </row>
    <row r="56">
      <c r="A56" s="16" t="inlineStr">
        <is>
          <t>רחפנים</t>
        </is>
      </c>
      <c r="B56" s="21" t="inlineStr">
        <is>
          <t>רחפן AVATA</t>
        </is>
      </c>
      <c r="C56" s="17" t="n">
        <v>4</v>
      </c>
      <c r="D56" s="17" t="n">
        <v>4</v>
      </c>
      <c r="E56" s="17" t="n">
        <v>4</v>
      </c>
      <c r="F56" s="17" t="n">
        <v>3</v>
      </c>
      <c r="G56" s="17" t="n"/>
      <c r="H56" s="17" t="n">
        <v>2</v>
      </c>
      <c r="I56" s="17" t="n"/>
      <c r="J56" s="17" t="n"/>
      <c r="K56" s="17">
        <f>SUM(C56:J56)</f>
        <v/>
      </c>
      <c r="L56" s="17" t="n"/>
      <c r="M56" s="17">
        <f>IF(L56="","",K56-L56)</f>
        <v/>
      </c>
      <c r="N56" s="22">
        <f>IF(OR(L56="",L56=0),"",K56/L56)</f>
        <v/>
      </c>
      <c r="O56" s="17">
        <f>IF(L56="","אין מצאי",IF(K56&lt;L56,"חוסר",IF(K56&gt;L56,"עודף","תקין")))</f>
        <v/>
      </c>
      <c r="P56" s="16" t="inlineStr"/>
      <c r="Q56" s="23">
        <f>IF(O56="חוסר",M56-ROW()/100000,IF(O56="עודף",M56+ROW()/100000,""))</f>
        <v/>
      </c>
    </row>
    <row r="57">
      <c r="A57" s="16" t="inlineStr">
        <is>
          <t>רחפנים</t>
        </is>
      </c>
      <c r="B57" s="21" t="inlineStr">
        <is>
          <t>רחפן EVOMAX</t>
        </is>
      </c>
      <c r="C57" s="17" t="n">
        <v>1</v>
      </c>
      <c r="D57" s="17" t="n">
        <v>1</v>
      </c>
      <c r="E57" s="17" t="n">
        <v>1</v>
      </c>
      <c r="F57" s="17" t="n">
        <v>3</v>
      </c>
      <c r="G57" s="17" t="n"/>
      <c r="H57" s="17" t="n">
        <v>1</v>
      </c>
      <c r="I57" s="17" t="n"/>
      <c r="J57" s="17" t="n">
        <v>1</v>
      </c>
      <c r="K57" s="17">
        <f>SUM(C57:J57)</f>
        <v/>
      </c>
      <c r="L57" s="17" t="n"/>
      <c r="M57" s="17">
        <f>IF(L57="","",K57-L57)</f>
        <v/>
      </c>
      <c r="N57" s="22">
        <f>IF(OR(L57="",L57=0),"",K57/L57)</f>
        <v/>
      </c>
      <c r="O57" s="17">
        <f>IF(L57="","אין מצאי",IF(K57&lt;L57,"חוסר",IF(K57&gt;L57,"עודף","תקין")))</f>
        <v/>
      </c>
      <c r="P57" s="16" t="inlineStr"/>
      <c r="Q57" s="23">
        <f>IF(O57="חוסר",M57-ROW()/100000,IF(O57="עודף",M57+ROW()/100000,""))</f>
        <v/>
      </c>
    </row>
    <row r="58">
      <c r="A58" s="16" t="inlineStr">
        <is>
          <t>חשמל ואנרגיה</t>
        </is>
      </c>
      <c r="B58" s="21" t="inlineStr">
        <is>
          <t>1000W ECOFLOW גדול</t>
        </is>
      </c>
      <c r="C58" s="17" t="n"/>
      <c r="D58" s="17" t="n"/>
      <c r="E58" s="17" t="n"/>
      <c r="F58" s="17" t="n"/>
      <c r="G58" s="17" t="n"/>
      <c r="H58" s="17" t="n"/>
      <c r="I58" s="17" t="n"/>
      <c r="J58" s="17" t="n">
        <v>3</v>
      </c>
      <c r="K58" s="17">
        <f>SUM(C58:J58)</f>
        <v/>
      </c>
      <c r="L58" s="17" t="n">
        <v>3</v>
      </c>
      <c r="M58" s="17">
        <f>IF(L58="","",K58-L58)</f>
        <v/>
      </c>
      <c r="N58" s="22">
        <f>IF(OR(L58="",L58=0),"",K58/L58)</f>
        <v/>
      </c>
      <c r="O58" s="17">
        <f>IF(L58="","אין מצאי",IF(K58&lt;L58,"חוסר",IF(K58&gt;L58,"עודף","תקין")))</f>
        <v/>
      </c>
      <c r="P58" s="16" t="inlineStr"/>
      <c r="Q58" s="23">
        <f>IF(O58="חוסר",M58-ROW()/100000,IF(O58="עודף",M58+ROW()/100000,""))</f>
        <v/>
      </c>
    </row>
    <row r="59">
      <c r="A59" s="16" t="inlineStr">
        <is>
          <t>חשמל ואנרגיה</t>
        </is>
      </c>
      <c r="B59" s="21" t="inlineStr">
        <is>
          <t>1800W ECOFLOW HYBRID</t>
        </is>
      </c>
      <c r="C59" s="17" t="n"/>
      <c r="D59" s="17" t="n"/>
      <c r="E59" s="17" t="n"/>
      <c r="F59" s="17" t="n"/>
      <c r="G59" s="17" t="n"/>
      <c r="H59" s="17" t="n"/>
      <c r="I59" s="17" t="n"/>
      <c r="J59" s="17" t="n">
        <v>1</v>
      </c>
      <c r="K59" s="17">
        <f>SUM(C59:J59)</f>
        <v/>
      </c>
      <c r="L59" s="17" t="n">
        <v>1</v>
      </c>
      <c r="M59" s="17">
        <f>IF(L59="","",K59-L59)</f>
        <v/>
      </c>
      <c r="N59" s="22">
        <f>IF(OR(L59="",L59=0),"",K59/L59)</f>
        <v/>
      </c>
      <c r="O59" s="17">
        <f>IF(L59="","אין מצאי",IF(K59&lt;L59,"חוסר",IF(K59&gt;L59,"עודף","תקין")))</f>
        <v/>
      </c>
      <c r="P59" s="16" t="inlineStr"/>
      <c r="Q59" s="23">
        <f>IF(O59="חוסר",M59-ROW()/100000,IF(O59="עודף",M59+ROW()/100000,""))</f>
        <v/>
      </c>
    </row>
    <row r="60">
      <c r="A60" s="16" t="inlineStr">
        <is>
          <t>חשמל ואנרגיה</t>
        </is>
      </c>
      <c r="B60" s="21" t="inlineStr">
        <is>
          <t>500W ECOFLOW קטן</t>
        </is>
      </c>
      <c r="C60" s="17" t="n"/>
      <c r="D60" s="17" t="n"/>
      <c r="E60" s="17" t="n"/>
      <c r="F60" s="17" t="n"/>
      <c r="G60" s="17" t="n"/>
      <c r="H60" s="17" t="n"/>
      <c r="I60" s="17" t="n"/>
      <c r="J60" s="17" t="n">
        <v>3</v>
      </c>
      <c r="K60" s="17">
        <f>SUM(C60:J60)</f>
        <v/>
      </c>
      <c r="L60" s="17" t="n">
        <v>3</v>
      </c>
      <c r="M60" s="17">
        <f>IF(L60="","",K60-L60)</f>
        <v/>
      </c>
      <c r="N60" s="22">
        <f>IF(OR(L60="",L60=0),"",K60/L60)</f>
        <v/>
      </c>
      <c r="O60" s="17">
        <f>IF(L60="","אין מצאי",IF(K60&lt;L60,"חוסר",IF(K60&gt;L60,"עודף","תקין")))</f>
        <v/>
      </c>
      <c r="P60" s="16" t="inlineStr"/>
      <c r="Q60" s="23">
        <f>IF(O60="חוסר",M60-ROW()/100000,IF(O60="עודף",M60+ROW()/100000,""))</f>
        <v/>
      </c>
    </row>
    <row r="61">
      <c r="A61" s="16" t="inlineStr">
        <is>
          <t>חשמל ואנרגיה</t>
        </is>
      </c>
      <c r="B61" s="21" t="inlineStr">
        <is>
          <t>גנרטור דיזל</t>
        </is>
      </c>
      <c r="C61" s="17" t="n"/>
      <c r="D61" s="17" t="n"/>
      <c r="E61" s="17" t="n"/>
      <c r="F61" s="17" t="n"/>
      <c r="G61" s="17" t="n"/>
      <c r="H61" s="17" t="n"/>
      <c r="I61" s="17" t="n"/>
      <c r="J61" s="17" t="n">
        <v>1</v>
      </c>
      <c r="K61" s="17">
        <f>SUM(C61:J61)</f>
        <v/>
      </c>
      <c r="L61" s="17" t="n"/>
      <c r="M61" s="17">
        <f>IF(L61="","",K61-L61)</f>
        <v/>
      </c>
      <c r="N61" s="22">
        <f>IF(OR(L61="",L61=0),"",K61/L61)</f>
        <v/>
      </c>
      <c r="O61" s="17">
        <f>IF(L61="","אין מצאי",IF(K61&lt;L61,"חוסר",IF(K61&gt;L61,"עודף","תקין")))</f>
        <v/>
      </c>
      <c r="P61" s="16" t="inlineStr"/>
      <c r="Q61" s="23">
        <f>IF(O61="חוסר",M61-ROW()/100000,IF(O61="עודף",M61+ROW()/100000,""))</f>
        <v/>
      </c>
    </row>
    <row r="62">
      <c r="A62" s="16" t="inlineStr">
        <is>
          <t>חשמל ואנרגיה</t>
        </is>
      </c>
      <c r="B62" s="21" t="inlineStr">
        <is>
          <t>גנרטור כתום GPT 1800W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>
        <v>5</v>
      </c>
      <c r="K62" s="17">
        <f>SUM(C62:J62)</f>
        <v/>
      </c>
      <c r="L62" s="17" t="n">
        <v>5</v>
      </c>
      <c r="M62" s="17">
        <f>IF(L62="","",K62-L62)</f>
        <v/>
      </c>
      <c r="N62" s="22">
        <f>IF(OR(L62="",L62=0),"",K62/L62)</f>
        <v/>
      </c>
      <c r="O62" s="17">
        <f>IF(L62="","אין מצאי",IF(K62&lt;L62,"חוסר",IF(K62&gt;L62,"עודף","תקין")))</f>
        <v/>
      </c>
      <c r="P62" s="16" t="inlineStr"/>
      <c r="Q62" s="23">
        <f>IF(O62="חוסר",M62-ROW()/100000,IF(O62="עודף",M62+ROW()/100000,""))</f>
        <v/>
      </c>
    </row>
    <row r="63">
      <c r="A63" s="16" t="inlineStr">
        <is>
          <t>חשמל ואנרגיה</t>
        </is>
      </c>
      <c r="B63" s="21" t="inlineStr">
        <is>
          <t>גנרטור לבן YAMAR 3800W</t>
        </is>
      </c>
      <c r="C63" s="17" t="n"/>
      <c r="D63" s="17" t="n"/>
      <c r="E63" s="17" t="n"/>
      <c r="F63" s="17" t="n"/>
      <c r="G63" s="17" t="n"/>
      <c r="H63" s="17" t="n"/>
      <c r="I63" s="17" t="n"/>
      <c r="J63" s="17" t="n">
        <v>4</v>
      </c>
      <c r="K63" s="17">
        <f>SUM(C63:J63)</f>
        <v/>
      </c>
      <c r="L63" s="17" t="n">
        <v>4</v>
      </c>
      <c r="M63" s="17">
        <f>IF(L63="","",K63-L63)</f>
        <v/>
      </c>
      <c r="N63" s="22">
        <f>IF(OR(L63="",L63=0),"",K63/L63)</f>
        <v/>
      </c>
      <c r="O63" s="17">
        <f>IF(L63="","אין מצאי",IF(K63&lt;L63,"חוסר",IF(K63&gt;L63,"עודף","תקין")))</f>
        <v/>
      </c>
      <c r="P63" s="16" t="inlineStr"/>
      <c r="Q63" s="23">
        <f>IF(O63="חוסר",M63-ROW()/100000,IF(O63="עודף",M63+ROW()/100000,""))</f>
        <v/>
      </c>
    </row>
    <row r="64">
      <c r="A64" s="16" t="inlineStr">
        <is>
          <t>חשמל ואנרגיה</t>
        </is>
      </c>
      <c r="B64" s="21" t="inlineStr">
        <is>
          <t>גנרטור צהוב 700W</t>
        </is>
      </c>
      <c r="C64" s="17" t="n"/>
      <c r="D64" s="17" t="n"/>
      <c r="E64" s="17" t="n"/>
      <c r="F64" s="17" t="n"/>
      <c r="G64" s="17" t="n"/>
      <c r="H64" s="17" t="n"/>
      <c r="I64" s="17" t="n"/>
      <c r="J64" s="17" t="n">
        <v>1</v>
      </c>
      <c r="K64" s="17">
        <f>SUM(C64:J64)</f>
        <v/>
      </c>
      <c r="L64" s="17" t="n">
        <v>1</v>
      </c>
      <c r="M64" s="17">
        <f>IF(L64="","",K64-L64)</f>
        <v/>
      </c>
      <c r="N64" s="22">
        <f>IF(OR(L64="",L64=0),"",K64/L64)</f>
        <v/>
      </c>
      <c r="O64" s="17">
        <f>IF(L64="","אין מצאי",IF(K64&lt;L64,"חוסר",IF(K64&gt;L64,"עודף","תקין")))</f>
        <v/>
      </c>
      <c r="P64" s="16" t="inlineStr"/>
      <c r="Q64" s="23">
        <f>IF(O64="חוסר",M64-ROW()/100000,IF(O64="עודף",M64+ROW()/100000,""))</f>
        <v/>
      </c>
    </row>
    <row r="65">
      <c r="A65" s="16" t="inlineStr">
        <is>
          <t>חשמל ואנרגיה</t>
        </is>
      </c>
      <c r="B65" s="21" t="inlineStr">
        <is>
          <t>פלטות</t>
        </is>
      </c>
      <c r="C65" s="17" t="n"/>
      <c r="D65" s="17" t="n"/>
      <c r="E65" s="17" t="n"/>
      <c r="F65" s="17" t="n"/>
      <c r="G65" s="17" t="n"/>
      <c r="H65" s="17" t="n"/>
      <c r="I65" s="17" t="n"/>
      <c r="J65" s="17" t="n">
        <v>10</v>
      </c>
      <c r="K65" s="17">
        <f>SUM(C65:J65)</f>
        <v/>
      </c>
      <c r="L65" s="17" t="n"/>
      <c r="M65" s="17">
        <f>IF(L65="","",K65-L65)</f>
        <v/>
      </c>
      <c r="N65" s="22">
        <f>IF(OR(L65="",L65=0),"",K65/L65)</f>
        <v/>
      </c>
      <c r="O65" s="17">
        <f>IF(L65="","אין מצאי",IF(K65&lt;L65,"חוסר",IF(K65&gt;L65,"עודף","תקין")))</f>
        <v/>
      </c>
      <c r="P65" s="16" t="inlineStr"/>
      <c r="Q65" s="23">
        <f>IF(O65="חוסר",M65-ROW()/100000,IF(O65="עודף",M65+ROW()/100000,""))</f>
        <v/>
      </c>
    </row>
  </sheetData>
  <mergeCells count="1">
    <mergeCell ref="A1:P1"/>
  </mergeCells>
  <conditionalFormatting sqref="A3:P65">
    <cfRule type="expression" priority="1" dxfId="0">
      <formula>$O3="חוסר"</formula>
    </cfRule>
    <cfRule type="expression" priority="2" dxfId="1">
      <formula>$O3="עודף"</formula>
    </cfRule>
    <cfRule type="expression" priority="3" dxfId="2">
      <formula>$O3="תקין"</formula>
    </cfRule>
    <cfRule type="expression" priority="4" dxfId="3">
      <formula>$O3="אין מצאי"</formula>
    </cfRule>
  </conditionalFormatting>
  <conditionalFormatting sqref="O3:O65">
    <cfRule type="expression" priority="5" dxfId="4">
      <formula>O3="חוסר"</formula>
    </cfRule>
    <cfRule type="expression" priority="6" dxfId="5">
      <formula>O3="עודף"</formula>
    </cfRule>
    <cfRule type="expression" priority="7" dxfId="6">
      <formula>O3="תקין"</formula>
    </cfRule>
    <cfRule type="expression" priority="8" dxfId="7">
      <formula>O3="אין מצאי"</formula>
    </cfRule>
  </conditionalFormatting>
  <conditionalFormatting sqref="M3:M65">
    <cfRule type="cellIs" priority="9" operator="lessThan" dxfId="4">
      <formula>0</formula>
    </cfRule>
    <cfRule type="cellIs" priority="10" operator="greaterThan" dxfId="5">
      <formula>0</formula>
    </cfRule>
  </conditionalFormatting>
  <conditionalFormatting sqref="N3:N65">
    <cfRule type="dataBar" priority="11">
      <dataBar>
        <cfvo type="num" val="0"/>
        <cfvo type="num" val="1"/>
        <color rgb="0063BE7B"/>
      </dataBar>
    </cfRule>
  </conditionalFormatting>
  <dataValidations count="1">
    <dataValidation sqref="A3:A265" showDropDown="0" showInputMessage="0" showErrorMessage="0" allowBlank="1" type="list">
      <formula1>=רשימות!$A$2:$A$9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24" t="inlineStr">
        <is>
          <t>סיכום לפי קטגוריה (חי)</t>
        </is>
      </c>
    </row>
    <row r="2">
      <c r="A2" s="25" t="inlineStr">
        <is>
          <t>קטגוריה</t>
        </is>
      </c>
      <c r="B2" s="25" t="inlineStr">
        <is>
          <t>פריטים</t>
        </is>
      </c>
      <c r="C2" s="25" t="inlineStr">
        <is>
          <t>סך יחידות</t>
        </is>
      </c>
      <c r="D2" s="25" t="inlineStr">
        <is>
          <t>סך מצאי</t>
        </is>
      </c>
      <c r="E2" s="25" t="inlineStr">
        <is>
          <t>סך פער</t>
        </is>
      </c>
      <c r="F2" s="25" t="inlineStr">
        <is>
          <t>חוסרים</t>
        </is>
      </c>
      <c r="G2" s="25" t="inlineStr">
        <is>
          <t>עודפים</t>
        </is>
      </c>
      <c r="H2" s="25" t="inlineStr">
        <is>
          <t>תקין</t>
        </is>
      </c>
    </row>
    <row r="3">
      <c r="A3" s="21" t="inlineStr">
        <is>
          <t>נשק ומקלעים</t>
        </is>
      </c>
      <c r="B3" s="17">
        <f>COUNTIF(Otzma[קטגוריה],"נשק ומקלעים")</f>
        <v/>
      </c>
      <c r="C3" s="17">
        <f>SUMIF(Otzma[קטגוריה],"נשק ומקלעים",Otzma[סך הכל])</f>
        <v/>
      </c>
      <c r="D3" s="17">
        <f>SUMIF(Otzma[קטגוריה],"נשק ומקלעים",Otzma[מצאי])</f>
        <v/>
      </c>
      <c r="E3" s="17">
        <f>SUMIFS(Otzma[פער],Otzma[קטגוריה],"נשק ומקלעים")</f>
        <v/>
      </c>
      <c r="F3" s="17">
        <f>COUNTIFS(Otzma[קטגוריה],"נשק ומקלעים",Otzma[סטטוס],"חוסר")</f>
        <v/>
      </c>
      <c r="G3" s="17">
        <f>COUNTIFS(Otzma[קטגוריה],"נשק ומקלעים",Otzma[סטטוס],"עודף")</f>
        <v/>
      </c>
      <c r="H3" s="17">
        <f>COUNTIFS(Otzma[קטגוריה],"נשק ומקלעים",Otzma[סטטוס],"תקין")</f>
        <v/>
      </c>
    </row>
    <row r="4">
      <c r="A4" s="21" t="inlineStr">
        <is>
          <t>כוונות ואופטיקה</t>
        </is>
      </c>
      <c r="B4" s="17">
        <f>COUNTIF(Otzma[קטגוריה],"כוונות ואופטיקה")</f>
        <v/>
      </c>
      <c r="C4" s="17">
        <f>SUMIF(Otzma[קטגוריה],"כוונות ואופטיקה",Otzma[סך הכל])</f>
        <v/>
      </c>
      <c r="D4" s="17">
        <f>SUMIF(Otzma[קטגוריה],"כוונות ואופטיקה",Otzma[מצאי])</f>
        <v/>
      </c>
      <c r="E4" s="17">
        <f>SUMIFS(Otzma[פער],Otzma[קטגוריה],"כוונות ואופטיקה")</f>
        <v/>
      </c>
      <c r="F4" s="17">
        <f>COUNTIFS(Otzma[קטגוריה],"כוונות ואופטיקה",Otzma[סטטוס],"חוסר")</f>
        <v/>
      </c>
      <c r="G4" s="17">
        <f>COUNTIFS(Otzma[קטגוריה],"כוונות ואופטיקה",Otzma[סטטוס],"עודף")</f>
        <v/>
      </c>
      <c r="H4" s="17">
        <f>COUNTIFS(Otzma[קטגוריה],"כוונות ואופטיקה",Otzma[סטטוס],"תקין")</f>
        <v/>
      </c>
    </row>
    <row r="5">
      <c r="A5" s="21" t="inlineStr">
        <is>
          <t>אמר"לים ותצפית</t>
        </is>
      </c>
      <c r="B5" s="17">
        <f>COUNTIF(Otzma[קטגוריה],"אמר"לים ותצפית")</f>
        <v/>
      </c>
      <c r="C5" s="17">
        <f>SUMIF(Otzma[קטגוריה],"אמר"לים ותצפית",Otzma[סך הכל])</f>
        <v/>
      </c>
      <c r="D5" s="17">
        <f>SUMIF(Otzma[קטגוריה],"אמר"לים ותצפית",Otzma[מצאי])</f>
        <v/>
      </c>
      <c r="E5" s="17">
        <f>SUMIFS(Otzma[פער],Otzma[קטגוריה],"אמר"לים ותצפית")</f>
        <v/>
      </c>
      <c r="F5" s="17">
        <f>COUNTIFS(Otzma[קטגוריה],"אמר"לים ותצפית",Otzma[סטטוס],"חוסר")</f>
        <v/>
      </c>
      <c r="G5" s="17">
        <f>COUNTIFS(Otzma[קטגוריה],"אמר"לים ותצפית",Otzma[סטטוס],"עודף")</f>
        <v/>
      </c>
      <c r="H5" s="17">
        <f>COUNTIFS(Otzma[קטגוריה],"אמר"לים ותצפית",Otzma[סטטוס],"תקין")</f>
        <v/>
      </c>
    </row>
    <row r="6">
      <c r="A6" s="21" t="inlineStr">
        <is>
          <t>סמנים ומציינים</t>
        </is>
      </c>
      <c r="B6" s="17">
        <f>COUNTIF(Otzma[קטגוריה],"סמנים ומציינים")</f>
        <v/>
      </c>
      <c r="C6" s="17">
        <f>SUMIF(Otzma[קטגוריה],"סמנים ומציינים",Otzma[סך הכל])</f>
        <v/>
      </c>
      <c r="D6" s="17">
        <f>SUMIF(Otzma[קטגוריה],"סמנים ומציינים",Otzma[מצאי])</f>
        <v/>
      </c>
      <c r="E6" s="17">
        <f>SUMIFS(Otzma[פער],Otzma[קטגוריה],"סמנים ומציינים")</f>
        <v/>
      </c>
      <c r="F6" s="17">
        <f>COUNTIFS(Otzma[קטגוריה],"סמנים ומציינים",Otzma[סטטוס],"חוסר")</f>
        <v/>
      </c>
      <c r="G6" s="17">
        <f>COUNTIFS(Otzma[קטגוריה],"סמנים ומציינים",Otzma[סטטוס],"עודף")</f>
        <v/>
      </c>
      <c r="H6" s="17">
        <f>COUNTIFS(Otzma[קטגוריה],"סמנים ומציינים",Otzma[סטטוס],"תקין")</f>
        <v/>
      </c>
    </row>
    <row r="7">
      <c r="A7" s="21" t="inlineStr">
        <is>
          <t>מט"ל ואבזור</t>
        </is>
      </c>
      <c r="B7" s="17">
        <f>COUNTIF(Otzma[קטגוריה],"מט"ל ואבזור")</f>
        <v/>
      </c>
      <c r="C7" s="17">
        <f>SUMIF(Otzma[קטגוריה],"מט"ל ואבזור",Otzma[סך הכל])</f>
        <v/>
      </c>
      <c r="D7" s="17">
        <f>SUMIF(Otzma[קטגוריה],"מט"ל ואבזור",Otzma[מצאי])</f>
        <v/>
      </c>
      <c r="E7" s="17">
        <f>SUMIFS(Otzma[פער],Otzma[קטגוריה],"מט"ל ואבזור")</f>
        <v/>
      </c>
      <c r="F7" s="17">
        <f>COUNTIFS(Otzma[קטגוריה],"מט"ל ואבזור",Otzma[סטטוס],"חוסר")</f>
        <v/>
      </c>
      <c r="G7" s="17">
        <f>COUNTIFS(Otzma[קטגוריה],"מט"ל ואבזור",Otzma[סטטוס],"עודף")</f>
        <v/>
      </c>
      <c r="H7" s="17">
        <f>COUNTIFS(Otzma[קטגוריה],"מט"ל ואבזור",Otzma[סטטוס],"תקין")</f>
        <v/>
      </c>
    </row>
    <row r="8">
      <c r="A8" s="21" t="inlineStr">
        <is>
          <t>רחפנים</t>
        </is>
      </c>
      <c r="B8" s="17">
        <f>COUNTIF(Otzma[קטגוריה],"רחפנים")</f>
        <v/>
      </c>
      <c r="C8" s="17">
        <f>SUMIF(Otzma[קטגוריה],"רחפנים",Otzma[סך הכל])</f>
        <v/>
      </c>
      <c r="D8" s="17">
        <f>SUMIF(Otzma[קטגוריה],"רחפנים",Otzma[מצאי])</f>
        <v/>
      </c>
      <c r="E8" s="17">
        <f>SUMIFS(Otzma[פער],Otzma[קטגוריה],"רחפנים")</f>
        <v/>
      </c>
      <c r="F8" s="17">
        <f>COUNTIFS(Otzma[קטגוריה],"רחפנים",Otzma[סטטוס],"חוסר")</f>
        <v/>
      </c>
      <c r="G8" s="17">
        <f>COUNTIFS(Otzma[קטגוריה],"רחפנים",Otzma[סטטוס],"עודף")</f>
        <v/>
      </c>
      <c r="H8" s="17">
        <f>COUNTIFS(Otzma[קטגוריה],"רחפנים",Otzma[סטטוס],"תקין")</f>
        <v/>
      </c>
    </row>
    <row r="9">
      <c r="A9" s="21" t="inlineStr">
        <is>
          <t>חשמל ואנרגיה</t>
        </is>
      </c>
      <c r="B9" s="17">
        <f>COUNTIF(Otzma[קטגוריה],"חשמל ואנרגיה")</f>
        <v/>
      </c>
      <c r="C9" s="17">
        <f>SUMIF(Otzma[קטגוריה],"חשמל ואנרגיה",Otzma[סך הכל])</f>
        <v/>
      </c>
      <c r="D9" s="17">
        <f>SUMIF(Otzma[קטגוריה],"חשמל ואנרגיה",Otzma[מצאי])</f>
        <v/>
      </c>
      <c r="E9" s="17">
        <f>SUMIFS(Otzma[פער],Otzma[קטגוריה],"חשמל ואנרגיה")</f>
        <v/>
      </c>
      <c r="F9" s="17">
        <f>COUNTIFS(Otzma[קטגוריה],"חשמל ואנרגיה",Otzma[סטטוס],"חוסר")</f>
        <v/>
      </c>
      <c r="G9" s="17">
        <f>COUNTIFS(Otzma[קטגוריה],"חשמל ואנרגיה",Otzma[סטטוס],"עודף")</f>
        <v/>
      </c>
      <c r="H9" s="17">
        <f>COUNTIFS(Otzma[קטגוריה],"חשמל ואנרגיה",Otzma[סטטוס],"תקין")</f>
        <v/>
      </c>
    </row>
    <row r="10">
      <c r="A10" s="21" t="inlineStr">
        <is>
          <t>אחר</t>
        </is>
      </c>
      <c r="B10" s="17">
        <f>COUNTIF(Otzma[קטגוריה],"אחר")</f>
        <v/>
      </c>
      <c r="C10" s="17">
        <f>SUMIF(Otzma[קטגוריה],"אחר",Otzma[סך הכל])</f>
        <v/>
      </c>
      <c r="D10" s="17">
        <f>SUMIF(Otzma[קטגוריה],"אחר",Otzma[מצאי])</f>
        <v/>
      </c>
      <c r="E10" s="17">
        <f>SUMIFS(Otzma[פער],Otzma[קטגוריה],"אחר")</f>
        <v/>
      </c>
      <c r="F10" s="17">
        <f>COUNTIFS(Otzma[קטגוריה],"אחר",Otzma[סטטוס],"חוסר")</f>
        <v/>
      </c>
      <c r="G10" s="17">
        <f>COUNTIFS(Otzma[קטגוריה],"אחר",Otzma[סטטוס],"עודף")</f>
        <v/>
      </c>
      <c r="H10" s="17">
        <f>COUNTIFS(Otzma[קטגוריה],"אחר",Otzma[סטטוס],"תקין")</f>
        <v/>
      </c>
    </row>
    <row r="11">
      <c r="A11" s="26" t="inlineStr">
        <is>
          <t>סה"כ</t>
        </is>
      </c>
      <c r="B11" s="27">
        <f>SUM(B3:B10)</f>
        <v/>
      </c>
      <c r="C11" s="27">
        <f>SUM(C3:C10)</f>
        <v/>
      </c>
      <c r="D11" s="27">
        <f>SUM(D3:D10)</f>
        <v/>
      </c>
      <c r="E11" s="27">
        <f>SUM(E3:E10)</f>
        <v/>
      </c>
      <c r="F11" s="27">
        <f>SUM(F3:F10)</f>
        <v/>
      </c>
      <c r="G11" s="27">
        <f>SUM(G3:G10)</f>
        <v/>
      </c>
      <c r="H11" s="27">
        <f>SUM(H3:H10)</f>
        <v/>
      </c>
    </row>
  </sheetData>
  <mergeCells count="1">
    <mergeCell ref="A1:H1"/>
  </mergeCells>
  <conditionalFormatting sqref="E3">
    <cfRule type="cellIs" priority="1" operator="lessThan" dxfId="4">
      <formula>0</formula>
    </cfRule>
    <cfRule type="cellIs" priority="2" operator="greaterThan" dxfId="5">
      <formula>0</formula>
    </cfRule>
  </conditionalFormatting>
  <conditionalFormatting sqref="E4">
    <cfRule type="cellIs" priority="3" operator="lessThan" dxfId="4">
      <formula>0</formula>
    </cfRule>
    <cfRule type="cellIs" priority="4" operator="greaterThan" dxfId="5">
      <formula>0</formula>
    </cfRule>
  </conditionalFormatting>
  <conditionalFormatting sqref="E5">
    <cfRule type="cellIs" priority="5" operator="lessThan" dxfId="4">
      <formula>0</formula>
    </cfRule>
    <cfRule type="cellIs" priority="6" operator="greaterThan" dxfId="5">
      <formula>0</formula>
    </cfRule>
  </conditionalFormatting>
  <conditionalFormatting sqref="E6">
    <cfRule type="cellIs" priority="7" operator="lessThan" dxfId="4">
      <formula>0</formula>
    </cfRule>
    <cfRule type="cellIs" priority="8" operator="greaterThan" dxfId="5">
      <formula>0</formula>
    </cfRule>
  </conditionalFormatting>
  <conditionalFormatting sqref="E7">
    <cfRule type="cellIs" priority="9" operator="lessThan" dxfId="4">
      <formula>0</formula>
    </cfRule>
    <cfRule type="cellIs" priority="10" operator="greaterThan" dxfId="5">
      <formula>0</formula>
    </cfRule>
  </conditionalFormatting>
  <conditionalFormatting sqref="E8">
    <cfRule type="cellIs" priority="11" operator="lessThan" dxfId="4">
      <formula>0</formula>
    </cfRule>
    <cfRule type="cellIs" priority="12" operator="greaterThan" dxfId="5">
      <formula>0</formula>
    </cfRule>
  </conditionalFormatting>
  <conditionalFormatting sqref="E9">
    <cfRule type="cellIs" priority="13" operator="lessThan" dxfId="4">
      <formula>0</formula>
    </cfRule>
    <cfRule type="cellIs" priority="14" operator="greaterThan" dxfId="5">
      <formula>0</formula>
    </cfRule>
  </conditionalFormatting>
  <conditionalFormatting sqref="E10">
    <cfRule type="cellIs" priority="15" operator="lessThan" dxfId="4">
      <formula>0</formula>
    </cfRule>
    <cfRule type="cellIs" priority="16" operator="greaterThan" dxfId="5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8" customHeight="1">
      <c r="A1" s="24" t="inlineStr">
        <is>
          <t>פילוח אחזקה לפי פלוגה / גורם (חי)</t>
        </is>
      </c>
    </row>
    <row r="2">
      <c r="A2" s="25" t="inlineStr">
        <is>
          <t>קטגוריה</t>
        </is>
      </c>
      <c r="B2" s="25" t="inlineStr">
        <is>
          <t>פלוגה א</t>
        </is>
      </c>
      <c r="C2" s="25" t="inlineStr">
        <is>
          <t>פלוגה ב</t>
        </is>
      </c>
      <c r="D2" s="25" t="inlineStr">
        <is>
          <t>פלוגה ג</t>
        </is>
      </c>
      <c r="E2" s="25" t="inlineStr">
        <is>
          <t>מסייעת</t>
        </is>
      </c>
      <c r="F2" s="25" t="inlineStr">
        <is>
          <t>פתן</t>
        </is>
      </c>
      <c r="G2" s="25" t="inlineStr">
        <is>
          <t>חפק</t>
        </is>
      </c>
      <c r="H2" s="25" t="inlineStr">
        <is>
          <t>מפקדה</t>
        </is>
      </c>
      <c r="I2" s="25" t="inlineStr">
        <is>
          <t>מלאי</t>
        </is>
      </c>
      <c r="J2" s="25" t="inlineStr">
        <is>
          <t>סך הכל</t>
        </is>
      </c>
    </row>
    <row r="3">
      <c r="A3" s="21" t="inlineStr">
        <is>
          <t>נשק ומקלעים</t>
        </is>
      </c>
      <c r="B3" s="17">
        <f>SUMIF(Otzma[קטגוריה],"נשק ומקלעים",Otzma[פלוגה א])</f>
        <v/>
      </c>
      <c r="C3" s="17">
        <f>SUMIF(Otzma[קטגוריה],"נשק ומקלעים",Otzma[פלוגה ב])</f>
        <v/>
      </c>
      <c r="D3" s="17">
        <f>SUMIF(Otzma[קטגוריה],"נשק ומקלעים",Otzma[פלוגה ג])</f>
        <v/>
      </c>
      <c r="E3" s="17">
        <f>SUMIF(Otzma[קטגוריה],"נשק ומקלעים",Otzma[מסייעת])</f>
        <v/>
      </c>
      <c r="F3" s="17">
        <f>SUMIF(Otzma[קטגוריה],"נשק ומקלעים",Otzma[פתן])</f>
        <v/>
      </c>
      <c r="G3" s="17">
        <f>SUMIF(Otzma[קטגוריה],"נשק ומקלעים",Otzma[חפק])</f>
        <v/>
      </c>
      <c r="H3" s="17">
        <f>SUMIF(Otzma[קטגוריה],"נשק ומקלעים",Otzma[מפקדה])</f>
        <v/>
      </c>
      <c r="I3" s="17">
        <f>SUMIF(Otzma[קטגוריה],"נשק ומקלעים",Otzma[מלאי])</f>
        <v/>
      </c>
      <c r="J3" s="17">
        <f>SUMIF(Otzma[קטגוריה],"נשק ומקלעים",Otzma[סך הכל])</f>
        <v/>
      </c>
    </row>
    <row r="4">
      <c r="A4" s="21" t="inlineStr">
        <is>
          <t>כוונות ואופטיקה</t>
        </is>
      </c>
      <c r="B4" s="17">
        <f>SUMIF(Otzma[קטגוריה],"כוונות ואופטיקה",Otzma[פלוגה א])</f>
        <v/>
      </c>
      <c r="C4" s="17">
        <f>SUMIF(Otzma[קטגוריה],"כוונות ואופטיקה",Otzma[פלוגה ב])</f>
        <v/>
      </c>
      <c r="D4" s="17">
        <f>SUMIF(Otzma[קטגוריה],"כוונות ואופטיקה",Otzma[פלוגה ג])</f>
        <v/>
      </c>
      <c r="E4" s="17">
        <f>SUMIF(Otzma[קטגוריה],"כוונות ואופטיקה",Otzma[מסייעת])</f>
        <v/>
      </c>
      <c r="F4" s="17">
        <f>SUMIF(Otzma[קטגוריה],"כוונות ואופטיקה",Otzma[פתן])</f>
        <v/>
      </c>
      <c r="G4" s="17">
        <f>SUMIF(Otzma[קטגוריה],"כוונות ואופטיקה",Otzma[חפק])</f>
        <v/>
      </c>
      <c r="H4" s="17">
        <f>SUMIF(Otzma[קטגוריה],"כוונות ואופטיקה",Otzma[מפקדה])</f>
        <v/>
      </c>
      <c r="I4" s="17">
        <f>SUMIF(Otzma[קטגוריה],"כוונות ואופטיקה",Otzma[מלאי])</f>
        <v/>
      </c>
      <c r="J4" s="17">
        <f>SUMIF(Otzma[קטגוריה],"כוונות ואופטיקה",Otzma[סך הכל])</f>
        <v/>
      </c>
    </row>
    <row r="5">
      <c r="A5" s="21" t="inlineStr">
        <is>
          <t>אמר"לים ותצפית</t>
        </is>
      </c>
      <c r="B5" s="17">
        <f>SUMIF(Otzma[קטגוריה],"אמר"לים ותצפית",Otzma[פלוגה א])</f>
        <v/>
      </c>
      <c r="C5" s="17">
        <f>SUMIF(Otzma[קטגוריה],"אמר"לים ותצפית",Otzma[פלוגה ב])</f>
        <v/>
      </c>
      <c r="D5" s="17">
        <f>SUMIF(Otzma[קטגוריה],"אמר"לים ותצפית",Otzma[פלוגה ג])</f>
        <v/>
      </c>
      <c r="E5" s="17">
        <f>SUMIF(Otzma[קטגוריה],"אמר"לים ותצפית",Otzma[מסייעת])</f>
        <v/>
      </c>
      <c r="F5" s="17">
        <f>SUMIF(Otzma[קטגוריה],"אמר"לים ותצפית",Otzma[פתן])</f>
        <v/>
      </c>
      <c r="G5" s="17">
        <f>SUMIF(Otzma[קטגוריה],"אמר"לים ותצפית",Otzma[חפק])</f>
        <v/>
      </c>
      <c r="H5" s="17">
        <f>SUMIF(Otzma[קטגוריה],"אמר"לים ותצפית",Otzma[מפקדה])</f>
        <v/>
      </c>
      <c r="I5" s="17">
        <f>SUMIF(Otzma[קטגוריה],"אמר"לים ותצפית",Otzma[מלאי])</f>
        <v/>
      </c>
      <c r="J5" s="17">
        <f>SUMIF(Otzma[קטגוריה],"אמר"לים ותצפית",Otzma[סך הכל])</f>
        <v/>
      </c>
    </row>
    <row r="6">
      <c r="A6" s="21" t="inlineStr">
        <is>
          <t>סמנים ומציינים</t>
        </is>
      </c>
      <c r="B6" s="17">
        <f>SUMIF(Otzma[קטגוריה],"סמנים ומציינים",Otzma[פלוגה א])</f>
        <v/>
      </c>
      <c r="C6" s="17">
        <f>SUMIF(Otzma[קטגוריה],"סמנים ומציינים",Otzma[פלוגה ב])</f>
        <v/>
      </c>
      <c r="D6" s="17">
        <f>SUMIF(Otzma[קטגוריה],"סמנים ומציינים",Otzma[פלוגה ג])</f>
        <v/>
      </c>
      <c r="E6" s="17">
        <f>SUMIF(Otzma[קטגוריה],"סמנים ומציינים",Otzma[מסייעת])</f>
        <v/>
      </c>
      <c r="F6" s="17">
        <f>SUMIF(Otzma[קטגוריה],"סמנים ומציינים",Otzma[פתן])</f>
        <v/>
      </c>
      <c r="G6" s="17">
        <f>SUMIF(Otzma[קטגוריה],"סמנים ומציינים",Otzma[חפק])</f>
        <v/>
      </c>
      <c r="H6" s="17">
        <f>SUMIF(Otzma[קטגוריה],"סמנים ומציינים",Otzma[מפקדה])</f>
        <v/>
      </c>
      <c r="I6" s="17">
        <f>SUMIF(Otzma[קטגוריה],"סמנים ומציינים",Otzma[מלאי])</f>
        <v/>
      </c>
      <c r="J6" s="17">
        <f>SUMIF(Otzma[קטגוריה],"סמנים ומציינים",Otzma[סך הכל])</f>
        <v/>
      </c>
    </row>
    <row r="7">
      <c r="A7" s="21" t="inlineStr">
        <is>
          <t>מט"ל ואבזור</t>
        </is>
      </c>
      <c r="B7" s="17">
        <f>SUMIF(Otzma[קטגוריה],"מט"ל ואבזור",Otzma[פלוגה א])</f>
        <v/>
      </c>
      <c r="C7" s="17">
        <f>SUMIF(Otzma[קטגוריה],"מט"ל ואבזור",Otzma[פלוגה ב])</f>
        <v/>
      </c>
      <c r="D7" s="17">
        <f>SUMIF(Otzma[קטגוריה],"מט"ל ואבזור",Otzma[פלוגה ג])</f>
        <v/>
      </c>
      <c r="E7" s="17">
        <f>SUMIF(Otzma[קטגוריה],"מט"ל ואבזור",Otzma[מסייעת])</f>
        <v/>
      </c>
      <c r="F7" s="17">
        <f>SUMIF(Otzma[קטגוריה],"מט"ל ואבזור",Otzma[פתן])</f>
        <v/>
      </c>
      <c r="G7" s="17">
        <f>SUMIF(Otzma[קטגוריה],"מט"ל ואבזור",Otzma[חפק])</f>
        <v/>
      </c>
      <c r="H7" s="17">
        <f>SUMIF(Otzma[קטגוריה],"מט"ל ואבזור",Otzma[מפקדה])</f>
        <v/>
      </c>
      <c r="I7" s="17">
        <f>SUMIF(Otzma[קטגוריה],"מט"ל ואבזור",Otzma[מלאי])</f>
        <v/>
      </c>
      <c r="J7" s="17">
        <f>SUMIF(Otzma[קטגוריה],"מט"ל ואבזור",Otzma[סך הכל])</f>
        <v/>
      </c>
    </row>
    <row r="8">
      <c r="A8" s="21" t="inlineStr">
        <is>
          <t>רחפנים</t>
        </is>
      </c>
      <c r="B8" s="17">
        <f>SUMIF(Otzma[קטגוריה],"רחפנים",Otzma[פלוגה א])</f>
        <v/>
      </c>
      <c r="C8" s="17">
        <f>SUMIF(Otzma[קטגוריה],"רחפנים",Otzma[פלוגה ב])</f>
        <v/>
      </c>
      <c r="D8" s="17">
        <f>SUMIF(Otzma[קטגוריה],"רחפנים",Otzma[פלוגה ג])</f>
        <v/>
      </c>
      <c r="E8" s="17">
        <f>SUMIF(Otzma[קטגוריה],"רחפנים",Otzma[מסייעת])</f>
        <v/>
      </c>
      <c r="F8" s="17">
        <f>SUMIF(Otzma[קטגוריה],"רחפנים",Otzma[פתן])</f>
        <v/>
      </c>
      <c r="G8" s="17">
        <f>SUMIF(Otzma[קטגוריה],"רחפנים",Otzma[חפק])</f>
        <v/>
      </c>
      <c r="H8" s="17">
        <f>SUMIF(Otzma[קטגוריה],"רחפנים",Otzma[מפקדה])</f>
        <v/>
      </c>
      <c r="I8" s="17">
        <f>SUMIF(Otzma[קטגוריה],"רחפנים",Otzma[מלאי])</f>
        <v/>
      </c>
      <c r="J8" s="17">
        <f>SUMIF(Otzma[קטגוריה],"רחפנים",Otzma[סך הכל])</f>
        <v/>
      </c>
    </row>
    <row r="9">
      <c r="A9" s="21" t="inlineStr">
        <is>
          <t>חשמל ואנרגיה</t>
        </is>
      </c>
      <c r="B9" s="17">
        <f>SUMIF(Otzma[קטגוריה],"חשמל ואנרגיה",Otzma[פלוגה א])</f>
        <v/>
      </c>
      <c r="C9" s="17">
        <f>SUMIF(Otzma[קטגוריה],"חשמל ואנרגיה",Otzma[פלוגה ב])</f>
        <v/>
      </c>
      <c r="D9" s="17">
        <f>SUMIF(Otzma[קטגוריה],"חשמל ואנרגיה",Otzma[פלוגה ג])</f>
        <v/>
      </c>
      <c r="E9" s="17">
        <f>SUMIF(Otzma[קטגוריה],"חשמל ואנרגיה",Otzma[מסייעת])</f>
        <v/>
      </c>
      <c r="F9" s="17">
        <f>SUMIF(Otzma[קטגוריה],"חשמל ואנרגיה",Otzma[פתן])</f>
        <v/>
      </c>
      <c r="G9" s="17">
        <f>SUMIF(Otzma[קטגוריה],"חשמל ואנרגיה",Otzma[חפק])</f>
        <v/>
      </c>
      <c r="H9" s="17">
        <f>SUMIF(Otzma[קטגוריה],"חשמל ואנרגיה",Otzma[מפקדה])</f>
        <v/>
      </c>
      <c r="I9" s="17">
        <f>SUMIF(Otzma[קטגוריה],"חשמל ואנרגיה",Otzma[מלאי])</f>
        <v/>
      </c>
      <c r="J9" s="17">
        <f>SUMIF(Otzma[קטגוריה],"חשמל ואנרגיה",Otzma[סך הכל])</f>
        <v/>
      </c>
    </row>
    <row r="10">
      <c r="A10" s="21" t="inlineStr">
        <is>
          <t>אחר</t>
        </is>
      </c>
      <c r="B10" s="17">
        <f>SUMIF(Otzma[קטגוריה],"אחר",Otzma[פלוגה א])</f>
        <v/>
      </c>
      <c r="C10" s="17">
        <f>SUMIF(Otzma[קטגוריה],"אחר",Otzma[פלוגה ב])</f>
        <v/>
      </c>
      <c r="D10" s="17">
        <f>SUMIF(Otzma[קטגוריה],"אחר",Otzma[פלוגה ג])</f>
        <v/>
      </c>
      <c r="E10" s="17">
        <f>SUMIF(Otzma[קטגוריה],"אחר",Otzma[מסייעת])</f>
        <v/>
      </c>
      <c r="F10" s="17">
        <f>SUMIF(Otzma[קטגוריה],"אחר",Otzma[פתן])</f>
        <v/>
      </c>
      <c r="G10" s="17">
        <f>SUMIF(Otzma[קטגוריה],"אחר",Otzma[חפק])</f>
        <v/>
      </c>
      <c r="H10" s="17">
        <f>SUMIF(Otzma[קטגוריה],"אחר",Otzma[מפקדה])</f>
        <v/>
      </c>
      <c r="I10" s="17">
        <f>SUMIF(Otzma[קטגוריה],"אחר",Otzma[מלאי])</f>
        <v/>
      </c>
      <c r="J10" s="17">
        <f>SUMIF(Otzma[קטגוריה],"אחר",Otzma[סך הכל])</f>
        <v/>
      </c>
    </row>
    <row r="11">
      <c r="A11" s="26" t="inlineStr">
        <is>
          <t>סה"כ</t>
        </is>
      </c>
      <c r="B11" s="27">
        <f>SUM(B3:B10)</f>
        <v/>
      </c>
      <c r="C11" s="27">
        <f>SUM(C3:C10)</f>
        <v/>
      </c>
      <c r="D11" s="27">
        <f>SUM(D3:D10)</f>
        <v/>
      </c>
      <c r="E11" s="27">
        <f>SUM(E3:E10)</f>
        <v/>
      </c>
      <c r="F11" s="27">
        <f>SUM(F3:F10)</f>
        <v/>
      </c>
      <c r="G11" s="27">
        <f>SUM(G3:G10)</f>
        <v/>
      </c>
      <c r="H11" s="27">
        <f>SUM(H3:H10)</f>
        <v/>
      </c>
      <c r="I11" s="27">
        <f>SUM(I3:I10)</f>
        <v/>
      </c>
      <c r="J11" s="27">
        <f>SUM(J3:J10)</f>
        <v/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rightToLeft="1" workbookViewId="0">
      <selection activeCell="A1" sqref="A1"/>
    </sheetView>
  </sheetViews>
  <sheetFormatPr baseColWidth="8" defaultRowHeight="15"/>
  <cols>
    <col width="20" customWidth="1" min="1" max="1"/>
    <col width="72" customWidth="1" min="2" max="2"/>
  </cols>
  <sheetData>
    <row r="1" ht="32" customHeight="1">
      <c r="A1" s="20" t="inlineStr">
        <is>
          <t>איך עובדים עם הקובץ</t>
        </is>
      </c>
    </row>
    <row r="3">
      <c r="A3" s="28" t="inlineStr">
        <is>
          <t>עיקרון</t>
        </is>
      </c>
      <c r="B3" s="16" t="inlineStr">
        <is>
          <t>הקובץ חי: עורכים רק בלשונית "טבלת ניהול" — כל השאר מחושב לבד</t>
        </is>
      </c>
    </row>
    <row r="4">
      <c r="A4" s="21" t="inlineStr">
        <is>
          <t>שינוי כמות</t>
        </is>
      </c>
      <c r="B4" s="16" t="inlineStr">
        <is>
          <t>הקלד/שנה מספר אצל פלוגה, מלאי או מצאי — סך הכל, פער, אחוז המימוש, הסטטוס והצבע יתעדכנו מיד</t>
        </is>
      </c>
    </row>
    <row r="5">
      <c r="A5" s="21" t="inlineStr">
        <is>
          <t>הוספת פריט</t>
        </is>
      </c>
      <c r="B5" s="16" t="inlineStr">
        <is>
          <t>כתוב בשורה הריקה מתחת לטבלה — הטבלה תתרחב והנוסחאות יושלמו אוטומטית. בחר קטגוריה מהרשימה הנפתחת</t>
        </is>
      </c>
    </row>
    <row r="6">
      <c r="A6" s="21" t="inlineStr">
        <is>
          <t>מחיקת פריט</t>
        </is>
      </c>
      <c r="B6" s="16" t="inlineStr">
        <is>
          <t>מחק את כל השורה (קליק ימני&gt; מחק שורת טבלה)</t>
        </is>
      </c>
    </row>
    <row r="7">
      <c r="A7" s="21" t="inlineStr">
        <is>
          <t>סך הכל</t>
        </is>
      </c>
      <c r="B7" s="16" t="inlineStr">
        <is>
          <t>סכום הפלוגות + מלאי (נוסחה)</t>
        </is>
      </c>
    </row>
    <row r="8">
      <c r="A8" s="21" t="inlineStr">
        <is>
          <t>פער</t>
        </is>
      </c>
      <c r="B8" s="16" t="inlineStr">
        <is>
          <t>סך הכל פחות מצאי</t>
        </is>
      </c>
    </row>
    <row r="9">
      <c r="A9" s="21" t="inlineStr">
        <is>
          <t>אחוז מימוש</t>
        </is>
      </c>
      <c r="B9" s="16" t="inlineStr">
        <is>
          <t>סך הכל חלקי מצאי (סרגל נתונים)</t>
        </is>
      </c>
    </row>
    <row r="10">
      <c r="A10" s="29" t="inlineStr">
        <is>
          <t>חוסר (אדום)</t>
        </is>
      </c>
      <c r="B10" s="16" t="inlineStr">
        <is>
          <t>סך הכל קטן מהמצאי הרשום</t>
        </is>
      </c>
    </row>
    <row r="11">
      <c r="A11" s="30" t="inlineStr">
        <is>
          <t>עודף (כתום)</t>
        </is>
      </c>
      <c r="B11" s="16" t="inlineStr">
        <is>
          <t>סך הכל גדול מהמצאי הרשום</t>
        </is>
      </c>
    </row>
    <row r="12">
      <c r="A12" s="31" t="inlineStr">
        <is>
          <t>תקין (ירוק)</t>
        </is>
      </c>
      <c r="B12" s="16" t="inlineStr">
        <is>
          <t>התאמה מלאה</t>
        </is>
      </c>
    </row>
    <row r="13">
      <c r="A13" s="32" t="inlineStr">
        <is>
          <t>אין מצאי (אפור)</t>
        </is>
      </c>
      <c r="B13" s="16" t="inlineStr">
        <is>
          <t>לא הוזן ערך מצאי</t>
        </is>
      </c>
    </row>
    <row r="14">
      <c r="A14" s="21" t="inlineStr">
        <is>
          <t>סינון</t>
        </is>
      </c>
      <c r="B14" s="16" t="inlineStr">
        <is>
          <t>בלשונית הטבלה אפשר ללחוץ על חץ הסינון בכותרת ולהציג למשל רק "חוסר"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קטגוריות</t>
        </is>
      </c>
    </row>
    <row r="2">
      <c r="A2" t="inlineStr">
        <is>
          <t>נשק ומקלעים</t>
        </is>
      </c>
    </row>
    <row r="3">
      <c r="A3" t="inlineStr">
        <is>
          <t>כוונות ואופטיקה</t>
        </is>
      </c>
    </row>
    <row r="4">
      <c r="A4" t="inlineStr">
        <is>
          <t>אמר"לים ותצפית</t>
        </is>
      </c>
    </row>
    <row r="5">
      <c r="A5" t="inlineStr">
        <is>
          <t>סמנים ומציינים</t>
        </is>
      </c>
    </row>
    <row r="6">
      <c r="A6" t="inlineStr">
        <is>
          <t>מט"ל ואבזור</t>
        </is>
      </c>
    </row>
    <row r="7">
      <c r="A7" t="inlineStr">
        <is>
          <t>רחפנים</t>
        </is>
      </c>
    </row>
    <row r="8">
      <c r="A8" t="inlineStr">
        <is>
          <t>חשמל ואנרגיה</t>
        </is>
      </c>
    </row>
    <row r="9">
      <c r="A9" t="inlineStr">
        <is>
          <t>אחר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2026-06-08T19:39:20Z</dcterms:created>
  <dcterms:modified xsi:type="dcterms:W3CDTF">2026-06-08T19:39:20Z</dcterms:modified>
</cp:coreProperties>
</file>