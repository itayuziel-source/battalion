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שבצק יציאות" sheetId="1" state="visible" r:id="rId1"/>
    <sheet name="מקרא" sheetId="2" state="visible" r:id="rId2"/>
    <sheet name="שיחות עם חייל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sz val="11"/>
    </font>
    <font>
      <name val="Arial"/>
      <sz val="11"/>
    </font>
    <font>
      <name val="Arial"/>
      <b val="1"/>
      <sz val="13"/>
    </font>
    <font>
      <name val="Arial"/>
      <i val="1"/>
      <sz val="8"/>
    </font>
    <font>
      <name val="Arial"/>
      <family val="2"/>
      <i val="1"/>
      <sz val="6"/>
    </font>
    <font>
      <name val="Tahoma"/>
      <charset val="177"/>
      <color indexed="81"/>
      <sz val="9"/>
    </font>
    <font>
      <name val="Arial"/>
      <b val="1"/>
      <color rgb="FF000000"/>
      <sz val="11"/>
    </font>
    <font>
      <b val="1"/>
      <color rgb="00FFFFFF"/>
      <sz val="11"/>
    </font>
    <font>
      <b val="1"/>
    </font>
  </fonts>
  <fills count="2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A9D08E"/>
      </patternFill>
    </fill>
    <fill>
      <patternFill patternType="solid">
        <fgColor rgb="FFFFC7CE"/>
      </patternFill>
    </fill>
    <fill>
      <patternFill patternType="solid">
        <fgColor rgb="FFB4A7D6"/>
      </patternFill>
    </fill>
    <fill>
      <patternFill patternType="solid">
        <fgColor rgb="FFF8CBAD"/>
      </patternFill>
    </fill>
    <fill>
      <patternFill patternType="solid">
        <f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FFF2CC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7" fillId="1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16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10" fillId="18" borderId="0" applyAlignment="1" pivotButton="0" quotePrefix="0" xfId="0">
      <alignment horizontal="right" vertical="center"/>
    </xf>
    <xf numFmtId="0" fontId="11" fillId="19" borderId="6" applyAlignment="1" pivotButton="0" quotePrefix="0" xfId="0">
      <alignment horizontal="right" vertical="center"/>
    </xf>
    <xf numFmtId="0" fontId="0" fillId="0" borderId="6" applyAlignment="1" pivotButton="0" quotePrefix="0" xfId="0">
      <alignment horizontal="center" vertical="center"/>
    </xf>
  </cellXfs>
  <cellStyles count="1">
    <cellStyle name="Normal" xfId="0" builtinId="0"/>
  </cellStyles>
  <dxfs count="11">
    <dxf>
      <font>
        <b val="1"/>
        <color rgb="FFFFFFFF"/>
      </font>
      <fill>
        <patternFill patternType="solid">
          <fgColor rgb="FFFF5050"/>
        </patternFill>
      </fill>
    </dxf>
    <dxf>
      <font>
        <b val="1"/>
        <color rgb="FFFFFFFF"/>
      </font>
      <fill>
        <patternFill patternType="solid">
          <fgColor rgb="FFFF5050"/>
        </patternFill>
      </fill>
    </dxf>
    <dxf>
      <font>
        <b val="1"/>
        <color rgb="FFFFFFFF"/>
      </font>
      <fill>
        <patternFill patternType="solid">
          <fgColor rgb="FFFF505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tc={903352F8-1553-42C8-947D-8861370E165B}</author>
    <author>tc={948B28DD-B6C9-4CE8-A56C-AA4CE7985D86}</author>
    <author>tc={580A088C-3036-4D0A-832D-8FC8213520F8}</author>
    <author>tc={14832521-90FF-4E33-8060-78218550A734}</author>
    <author>tc={3C9184BC-82ED-49D8-A704-028BDDE87D56}</author>
    <author>tc={D896A9A1-BB92-4E94-AAC1-2B38470A1118}</author>
    <author>tc={F9353E86-6F47-4B47-8975-E05172159CC4}</author>
    <author>tc={FBDD9A00-1401-4B05-B16F-70C59E57952B}</author>
    <author>tc={66BD0958-F850-45A9-B66D-97A0F82B5A69}</author>
    <author>tc={DA429160-6AB4-48BD-A188-68F41CAA364B}</author>
    <author>tc={5BD316FE-FA7B-4D67-8447-C63A7303906C}</author>
    <author>tc={622AD74F-7688-4458-994C-9F035FDC2E0B}</author>
    <author>tc={C0849E30-AF5A-4520-BBD7-13D339747FFF}</author>
  </authors>
  <commentList>
    <comment ref="AG5" authorId="0" shapeId="0">
      <text>
        <t xml:space="preserve"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דיון </t>
      </text>
    </comment>
    <comment ref="U6" authorId="1" shapeId="0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מכולות</t>
      </text>
    </comment>
    <comment ref="U7" authorId="2" shapeId="0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מכולות</t>
      </text>
    </comment>
    <comment ref="V9" authorId="3" shapeId="0">
      <text>
        <t xml:space="preserve"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חתונה
</t>
      </text>
    </comment>
    <comment ref="U14" authorId="4" shapeId="0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מכולות</t>
      </text>
    </comment>
    <comment ref="G18" authorId="5" shapeId="0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מבחן בבוקר</t>
      </text>
    </comment>
    <comment ref="L18" authorId="6" shapeId="0">
      <text>
        <t xml:space="preserve"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מגיע לבילו אחרי מבחן ו </t>
      </text>
    </comment>
    <comment ref="AM18" authorId="7" shapeId="0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מבחן</t>
      </text>
    </comment>
    <comment ref="AK25" authorId="8" shapeId="0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חתונה</t>
      </text>
    </comment>
    <comment ref="U26" authorId="9" shapeId="0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מכולות ישן בבית</t>
      </text>
    </comment>
    <comment ref="AH26" authorId="10" shapeId="0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מבחן</t>
      </text>
    </comment>
    <comment ref="U29" authorId="11" shapeId="0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מכולות יוצא לבית</t>
      </text>
    </comment>
    <comment ref="AG29" authorId="12" shapeId="0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מבחן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3"/>
  <sheetViews>
    <sheetView rightToLeft="1" tabSelected="1" zoomScale="85" zoomScaleNormal="85" workbookViewId="0">
      <pane xSplit="3" ySplit="3" topLeftCell="R9" activePane="bottomRight" state="frozen"/>
      <selection pane="topRight" activeCell="A1" sqref="A1"/>
      <selection pane="bottomLeft" activeCell="A1" sqref="A1"/>
      <selection pane="bottomRight" activeCell="Y31" sqref="Y31"/>
    </sheetView>
  </sheetViews>
  <sheetFormatPr baseColWidth="8" defaultRowHeight="13.8"/>
  <cols>
    <col width="15.8984375" customWidth="1" style="30" min="1" max="1"/>
    <col width="14" customWidth="1" style="30" min="2" max="3"/>
    <col width="5" customWidth="1" style="30" min="4" max="21"/>
    <col width="6.69921875" customWidth="1" style="30" min="22" max="100"/>
    <col width="5" customWidth="1" style="30" min="101" max="105"/>
    <col width="8.8984375" customWidth="1" style="30" min="106" max="109"/>
  </cols>
  <sheetData>
    <row r="1">
      <c r="A1" s="32" t="inlineStr">
        <is>
          <t>שבצק יציאות - קו הגנה סוריה</t>
        </is>
      </c>
    </row>
    <row r="2">
      <c r="D2" s="29" t="inlineStr">
        <is>
          <t>יוני 2026</t>
        </is>
      </c>
      <c r="E2" s="33" t="n"/>
      <c r="F2" s="33" t="n"/>
      <c r="G2" s="33" t="n"/>
      <c r="H2" s="33" t="n"/>
      <c r="I2" s="33" t="n"/>
      <c r="J2" s="33" t="n"/>
      <c r="K2" s="33" t="n"/>
      <c r="L2" s="33" t="n"/>
      <c r="M2" s="34" t="n"/>
      <c r="N2" s="29" t="inlineStr">
        <is>
          <t>יולי 2026</t>
        </is>
      </c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  <c r="AA2" s="33" t="n"/>
      <c r="AB2" s="33" t="n"/>
      <c r="AC2" s="33" t="n"/>
      <c r="AD2" s="33" t="n"/>
      <c r="AE2" s="33" t="n"/>
      <c r="AF2" s="33" t="n"/>
      <c r="AG2" s="33" t="n"/>
      <c r="AH2" s="33" t="n"/>
      <c r="AI2" s="33" t="n"/>
      <c r="AJ2" s="33" t="n"/>
      <c r="AK2" s="33" t="n"/>
      <c r="AL2" s="33" t="n"/>
      <c r="AM2" s="33" t="n"/>
      <c r="AN2" s="33" t="n"/>
      <c r="AO2" s="33" t="n"/>
      <c r="AP2" s="33" t="n"/>
      <c r="AQ2" s="33" t="n"/>
      <c r="AR2" s="34" t="n"/>
      <c r="AS2" s="29" t="inlineStr">
        <is>
          <t>אוגוסט 2026</t>
        </is>
      </c>
      <c r="AT2" s="33" t="n"/>
      <c r="AU2" s="33" t="n"/>
      <c r="AV2" s="33" t="n"/>
      <c r="AW2" s="33" t="n"/>
      <c r="AX2" s="33" t="n"/>
      <c r="AY2" s="33" t="n"/>
      <c r="AZ2" s="33" t="n"/>
      <c r="BA2" s="33" t="n"/>
      <c r="BB2" s="33" t="n"/>
      <c r="BC2" s="33" t="n"/>
      <c r="BD2" s="33" t="n"/>
      <c r="BE2" s="33" t="n"/>
      <c r="BF2" s="33" t="n"/>
      <c r="BG2" s="33" t="n"/>
      <c r="BH2" s="33" t="n"/>
      <c r="BI2" s="33" t="n"/>
      <c r="BJ2" s="33" t="n"/>
      <c r="BK2" s="33" t="n"/>
      <c r="BL2" s="33" t="n"/>
      <c r="BM2" s="33" t="n"/>
      <c r="BN2" s="33" t="n"/>
      <c r="BO2" s="33" t="n"/>
      <c r="BP2" s="33" t="n"/>
      <c r="BQ2" s="33" t="n"/>
      <c r="BR2" s="33" t="n"/>
      <c r="BS2" s="33" t="n"/>
      <c r="BT2" s="33" t="n"/>
      <c r="BU2" s="33" t="n"/>
      <c r="BV2" s="33" t="n"/>
      <c r="BW2" s="34" t="n"/>
      <c r="BX2" s="29" t="inlineStr">
        <is>
          <t>ספטמבר 2026</t>
        </is>
      </c>
      <c r="BY2" s="33" t="n"/>
      <c r="BZ2" s="33" t="n"/>
      <c r="CA2" s="33" t="n"/>
      <c r="CB2" s="33" t="n"/>
      <c r="CC2" s="33" t="n"/>
      <c r="CD2" s="33" t="n"/>
      <c r="CE2" s="33" t="n"/>
      <c r="CF2" s="33" t="n"/>
      <c r="CG2" s="33" t="n"/>
      <c r="CH2" s="33" t="n"/>
      <c r="CI2" s="33" t="n"/>
      <c r="CJ2" s="33" t="n"/>
      <c r="CK2" s="33" t="n"/>
      <c r="CL2" s="33" t="n"/>
      <c r="CM2" s="33" t="n"/>
      <c r="CN2" s="33" t="n"/>
      <c r="CO2" s="33" t="n"/>
      <c r="CP2" s="33" t="n"/>
      <c r="CQ2" s="33" t="n"/>
      <c r="CR2" s="33" t="n"/>
      <c r="CS2" s="33" t="n"/>
      <c r="CT2" s="33" t="n"/>
      <c r="CU2" s="33" t="n"/>
      <c r="CV2" s="33" t="n"/>
      <c r="CW2" s="33" t="n"/>
      <c r="CX2" s="33" t="n"/>
      <c r="CY2" s="33" t="n"/>
      <c r="CZ2" s="33" t="n"/>
      <c r="DA2" s="34" t="n"/>
    </row>
    <row r="3" ht="30" customHeight="1" s="30">
      <c r="A3" s="29" t="inlineStr">
        <is>
          <t>שם</t>
        </is>
      </c>
      <c r="B3" s="29" t="inlineStr">
        <is>
          <t>תפקיד</t>
        </is>
      </c>
      <c r="C3" s="29" t="inlineStr">
        <is>
          <t>הערות</t>
        </is>
      </c>
      <c r="D3" s="2" t="inlineStr">
        <is>
          <t>21
א</t>
        </is>
      </c>
      <c r="E3" s="2" t="inlineStr">
        <is>
          <t>22
ב</t>
        </is>
      </c>
      <c r="F3" s="2" t="inlineStr">
        <is>
          <t>23
ג</t>
        </is>
      </c>
      <c r="G3" s="2" t="inlineStr">
        <is>
          <t>24
ד</t>
        </is>
      </c>
      <c r="H3" s="2" t="inlineStr">
        <is>
          <t>25
ה</t>
        </is>
      </c>
      <c r="I3" s="3" t="inlineStr">
        <is>
          <t>26
ו</t>
        </is>
      </c>
      <c r="J3" s="3" t="inlineStr">
        <is>
          <t>27
ש</t>
        </is>
      </c>
      <c r="K3" s="2" t="inlineStr">
        <is>
          <t>28
א</t>
        </is>
      </c>
      <c r="L3" s="2" t="inlineStr">
        <is>
          <t>29
ב</t>
        </is>
      </c>
      <c r="M3" s="2" t="inlineStr">
        <is>
          <t>30
ג</t>
        </is>
      </c>
      <c r="N3" s="2" t="inlineStr">
        <is>
          <t>1
ד</t>
        </is>
      </c>
      <c r="O3" s="2" t="inlineStr">
        <is>
          <t>2
ה</t>
        </is>
      </c>
      <c r="P3" s="3" t="inlineStr">
        <is>
          <t>3
ו</t>
        </is>
      </c>
      <c r="Q3" s="3" t="inlineStr">
        <is>
          <t>4
ש</t>
        </is>
      </c>
      <c r="R3" s="2" t="inlineStr">
        <is>
          <t>5
א</t>
        </is>
      </c>
      <c r="S3" s="2" t="inlineStr">
        <is>
          <t>6
ב</t>
        </is>
      </c>
      <c r="T3" s="2" t="inlineStr">
        <is>
          <t>7
ג</t>
        </is>
      </c>
      <c r="U3" s="2" t="inlineStr">
        <is>
          <t>8
ד</t>
        </is>
      </c>
      <c r="V3" s="2" t="inlineStr">
        <is>
          <t>9
ה</t>
        </is>
      </c>
      <c r="W3" s="3" t="inlineStr">
        <is>
          <t>10
ו</t>
        </is>
      </c>
      <c r="X3" s="3" t="inlineStr">
        <is>
          <t>11
ש</t>
        </is>
      </c>
      <c r="Y3" s="2" t="inlineStr">
        <is>
          <t>12
א</t>
        </is>
      </c>
      <c r="Z3" s="2" t="inlineStr">
        <is>
          <t>13
ב</t>
        </is>
      </c>
      <c r="AA3" s="2" t="inlineStr">
        <is>
          <t>14
ג</t>
        </is>
      </c>
      <c r="AB3" s="2" t="inlineStr">
        <is>
          <t>15
ד</t>
        </is>
      </c>
      <c r="AC3" s="2" t="inlineStr">
        <is>
          <t>16
ה</t>
        </is>
      </c>
      <c r="AD3" s="3" t="inlineStr">
        <is>
          <t>17
ו</t>
        </is>
      </c>
      <c r="AE3" s="3" t="inlineStr">
        <is>
          <t>18
ש</t>
        </is>
      </c>
      <c r="AF3" s="2" t="inlineStr">
        <is>
          <t>19
א</t>
        </is>
      </c>
      <c r="AG3" s="2" t="inlineStr">
        <is>
          <t>20
ב</t>
        </is>
      </c>
      <c r="AH3" s="2" t="inlineStr">
        <is>
          <t>21
ג</t>
        </is>
      </c>
      <c r="AI3" s="2" t="inlineStr">
        <is>
          <t>22
ד</t>
        </is>
      </c>
      <c r="AJ3" s="2" t="inlineStr">
        <is>
          <t>23
ה</t>
        </is>
      </c>
      <c r="AK3" s="3" t="inlineStr">
        <is>
          <t>24
ו</t>
        </is>
      </c>
      <c r="AL3" s="3" t="inlineStr">
        <is>
          <t>25
ש</t>
        </is>
      </c>
      <c r="AM3" s="2" t="inlineStr">
        <is>
          <t>26
א</t>
        </is>
      </c>
      <c r="AN3" s="2" t="inlineStr">
        <is>
          <t>27
ב</t>
        </is>
      </c>
      <c r="AO3" s="2" t="inlineStr">
        <is>
          <t>28
ג</t>
        </is>
      </c>
      <c r="AP3" s="2" t="inlineStr">
        <is>
          <t>29
ד</t>
        </is>
      </c>
      <c r="AQ3" s="2" t="inlineStr">
        <is>
          <t>30
ה</t>
        </is>
      </c>
      <c r="AR3" s="3" t="inlineStr">
        <is>
          <t>31
ו</t>
        </is>
      </c>
      <c r="AS3" s="3" t="inlineStr">
        <is>
          <t>1
ש</t>
        </is>
      </c>
      <c r="AT3" s="2" t="inlineStr">
        <is>
          <t>2
א</t>
        </is>
      </c>
      <c r="AU3" s="2" t="inlineStr">
        <is>
          <t>3
ב</t>
        </is>
      </c>
      <c r="AV3" s="2" t="inlineStr">
        <is>
          <t>4
ג</t>
        </is>
      </c>
      <c r="AW3" s="2" t="inlineStr">
        <is>
          <t>5
ד</t>
        </is>
      </c>
      <c r="AX3" s="2" t="inlineStr">
        <is>
          <t>6
ה</t>
        </is>
      </c>
      <c r="AY3" s="3" t="inlineStr">
        <is>
          <t>7
ו</t>
        </is>
      </c>
      <c r="AZ3" s="3" t="inlineStr">
        <is>
          <t>8
ש</t>
        </is>
      </c>
      <c r="BA3" s="2" t="inlineStr">
        <is>
          <t>9
א</t>
        </is>
      </c>
      <c r="BB3" s="2" t="inlineStr">
        <is>
          <t>10
ב</t>
        </is>
      </c>
      <c r="BC3" s="2" t="inlineStr">
        <is>
          <t>11
ג</t>
        </is>
      </c>
      <c r="BD3" s="2" t="inlineStr">
        <is>
          <t>12
ד</t>
        </is>
      </c>
      <c r="BE3" s="2" t="inlineStr">
        <is>
          <t>13
ה</t>
        </is>
      </c>
      <c r="BF3" s="3" t="inlineStr">
        <is>
          <t>14
ו</t>
        </is>
      </c>
      <c r="BG3" s="3" t="inlineStr">
        <is>
          <t>15
ש</t>
        </is>
      </c>
      <c r="BH3" s="2" t="inlineStr">
        <is>
          <t>16
א</t>
        </is>
      </c>
      <c r="BI3" s="2" t="inlineStr">
        <is>
          <t>17
ב</t>
        </is>
      </c>
      <c r="BJ3" s="2" t="inlineStr">
        <is>
          <t>18
ג</t>
        </is>
      </c>
      <c r="BK3" s="2" t="inlineStr">
        <is>
          <t>19
ד</t>
        </is>
      </c>
      <c r="BL3" s="2" t="inlineStr">
        <is>
          <t>20
ה</t>
        </is>
      </c>
      <c r="BM3" s="3" t="inlineStr">
        <is>
          <t>21
ו</t>
        </is>
      </c>
      <c r="BN3" s="3" t="inlineStr">
        <is>
          <t>22
ש</t>
        </is>
      </c>
      <c r="BO3" s="2" t="inlineStr">
        <is>
          <t>23
א</t>
        </is>
      </c>
      <c r="BP3" s="2" t="inlineStr">
        <is>
          <t>24
ב</t>
        </is>
      </c>
      <c r="BQ3" s="2" t="inlineStr">
        <is>
          <t>25
ג</t>
        </is>
      </c>
      <c r="BR3" s="2" t="inlineStr">
        <is>
          <t>26
ד</t>
        </is>
      </c>
      <c r="BS3" s="2" t="inlineStr">
        <is>
          <t>27
ה</t>
        </is>
      </c>
      <c r="BT3" s="3" t="inlineStr">
        <is>
          <t>28
ו</t>
        </is>
      </c>
      <c r="BU3" s="3" t="inlineStr">
        <is>
          <t>29
ש</t>
        </is>
      </c>
      <c r="BV3" s="2" t="inlineStr">
        <is>
          <t>30
א</t>
        </is>
      </c>
      <c r="BW3" s="2" t="inlineStr">
        <is>
          <t>31
ב</t>
        </is>
      </c>
      <c r="BX3" s="2" t="inlineStr">
        <is>
          <t>1
ג</t>
        </is>
      </c>
      <c r="BY3" s="2" t="inlineStr">
        <is>
          <t>2
ד</t>
        </is>
      </c>
      <c r="BZ3" s="2" t="inlineStr">
        <is>
          <t>3
ה</t>
        </is>
      </c>
      <c r="CA3" s="3" t="inlineStr">
        <is>
          <t>4
ו</t>
        </is>
      </c>
      <c r="CB3" s="3" t="inlineStr">
        <is>
          <t>5
ש</t>
        </is>
      </c>
      <c r="CC3" s="2" t="inlineStr">
        <is>
          <t>6
א</t>
        </is>
      </c>
      <c r="CD3" s="2" t="inlineStr">
        <is>
          <t>7
ב</t>
        </is>
      </c>
      <c r="CE3" s="2" t="inlineStr">
        <is>
          <t>8
ג</t>
        </is>
      </c>
      <c r="CF3" s="2" t="inlineStr">
        <is>
          <t>9
ד</t>
        </is>
      </c>
      <c r="CG3" s="2" t="inlineStr">
        <is>
          <t>10
ה</t>
        </is>
      </c>
      <c r="CH3" s="4" t="inlineStr">
        <is>
          <t>11
ו</t>
        </is>
      </c>
      <c r="CI3" s="4" t="inlineStr">
        <is>
          <t>12
ש</t>
        </is>
      </c>
      <c r="CJ3" s="4" t="inlineStr">
        <is>
          <t>13
א</t>
        </is>
      </c>
      <c r="CK3" s="2" t="inlineStr">
        <is>
          <t>14
ב</t>
        </is>
      </c>
      <c r="CL3" s="2" t="inlineStr">
        <is>
          <t>15
ג</t>
        </is>
      </c>
      <c r="CM3" s="2" t="inlineStr">
        <is>
          <t>16
ד</t>
        </is>
      </c>
      <c r="CN3" s="2" t="inlineStr">
        <is>
          <t>17
ה</t>
        </is>
      </c>
      <c r="CO3" s="3" t="inlineStr">
        <is>
          <t>18
ו</t>
        </is>
      </c>
      <c r="CP3" s="3" t="inlineStr">
        <is>
          <t>19
ש</t>
        </is>
      </c>
      <c r="CQ3" s="4" t="inlineStr">
        <is>
          <t>20
א</t>
        </is>
      </c>
      <c r="CR3" s="4" t="inlineStr">
        <is>
          <t>21
ב</t>
        </is>
      </c>
      <c r="CS3" s="2" t="inlineStr">
        <is>
          <t>22
ג</t>
        </is>
      </c>
      <c r="CT3" s="2" t="inlineStr">
        <is>
          <t>23
ד</t>
        </is>
      </c>
      <c r="CU3" s="2" t="inlineStr">
        <is>
          <t>24
ה</t>
        </is>
      </c>
      <c r="CV3" s="4" t="inlineStr">
        <is>
          <t>25
ו</t>
        </is>
      </c>
      <c r="CW3" s="4" t="inlineStr">
        <is>
          <t>26
ש</t>
        </is>
      </c>
      <c r="CX3" s="2" t="inlineStr">
        <is>
          <t>27
א</t>
        </is>
      </c>
      <c r="CY3" s="2" t="inlineStr">
        <is>
          <t>28
ב</t>
        </is>
      </c>
      <c r="CZ3" s="2" t="inlineStr">
        <is>
          <t>29
ג</t>
        </is>
      </c>
      <c r="DA3" s="2" t="inlineStr">
        <is>
          <t>30
ד</t>
        </is>
      </c>
      <c r="DB3" s="29" t="inlineStr">
        <is>
          <t>ימי בסיס</t>
        </is>
      </c>
      <c r="DC3" s="29" t="inlineStr">
        <is>
          <t>ימי בית</t>
        </is>
      </c>
      <c r="DD3" s="29" t="inlineStr">
        <is>
          <t>סופ"ש בבית</t>
        </is>
      </c>
      <c r="DE3" s="29" t="inlineStr">
        <is>
          <t>חגים בבית</t>
        </is>
      </c>
    </row>
    <row r="4" ht="27.9" customHeight="1" s="30">
      <c r="A4" s="29" t="inlineStr">
        <is>
          <t>אירוע ביום</t>
        </is>
      </c>
      <c r="B4" s="33" t="n"/>
      <c r="C4" s="34" t="n"/>
      <c r="D4" s="26" t="inlineStr">
        <is>
          <t>חלוץ</t>
        </is>
      </c>
      <c r="E4" s="26" t="inlineStr">
        <is>
          <t xml:space="preserve">חלוץ </t>
        </is>
      </c>
      <c r="F4" s="26" t="inlineStr">
        <is>
          <t xml:space="preserve">חלוץ </t>
        </is>
      </c>
      <c r="G4" s="26" t="inlineStr">
        <is>
          <t xml:space="preserve">חלוץ </t>
        </is>
      </c>
      <c r="H4" s="26" t="inlineStr">
        <is>
          <t>חלוץ</t>
        </is>
      </c>
      <c r="I4" s="26" t="n"/>
      <c r="J4" s="26" t="n"/>
      <c r="K4" s="26" t="n"/>
      <c r="L4" s="26" t="n"/>
      <c r="M4" s="26" t="n"/>
      <c r="N4" s="28" t="inlineStr">
        <is>
          <t>גיוס מפקדים</t>
        </is>
      </c>
      <c r="O4" s="26" t="inlineStr">
        <is>
          <t>חלוץ צום</t>
        </is>
      </c>
      <c r="P4" s="26" t="inlineStr">
        <is>
          <t>חלוץ</t>
        </is>
      </c>
      <c r="Q4" s="26" t="inlineStr">
        <is>
          <t xml:space="preserve">חלוץ </t>
        </is>
      </c>
      <c r="R4" s="26" t="inlineStr">
        <is>
          <t xml:space="preserve">גיוס </t>
        </is>
      </c>
      <c r="S4" s="26" t="inlineStr">
        <is>
          <t>אלל</t>
        </is>
      </c>
      <c r="T4" s="26" t="inlineStr">
        <is>
          <t xml:space="preserve">אלל </t>
        </is>
      </c>
      <c r="U4" s="26" t="inlineStr">
        <is>
          <t>ת. אחריות</t>
        </is>
      </c>
      <c r="V4" s="26" t="inlineStr">
        <is>
          <t>לבנון</t>
        </is>
      </c>
      <c r="W4" s="26" t="inlineStr">
        <is>
          <t>לבנון</t>
        </is>
      </c>
      <c r="X4" s="26" t="inlineStr">
        <is>
          <t>לבנון</t>
        </is>
      </c>
      <c r="Y4" s="26" t="inlineStr">
        <is>
          <t>לבנון</t>
        </is>
      </c>
      <c r="Z4" s="26" t="inlineStr">
        <is>
          <t>לבנון</t>
        </is>
      </c>
      <c r="AA4" s="26" t="inlineStr">
        <is>
          <t>לבנון</t>
        </is>
      </c>
      <c r="AB4" s="26" t="inlineStr">
        <is>
          <t>לבנון</t>
        </is>
      </c>
      <c r="AC4" s="26" t="inlineStr">
        <is>
          <t>לבנון</t>
        </is>
      </c>
      <c r="AD4" s="26" t="inlineStr">
        <is>
          <t>לבנון</t>
        </is>
      </c>
      <c r="AE4" s="26" t="inlineStr">
        <is>
          <t>לבנון</t>
        </is>
      </c>
      <c r="AF4" s="26" t="inlineStr">
        <is>
          <t>לבנון</t>
        </is>
      </c>
      <c r="AG4" s="26" t="inlineStr">
        <is>
          <t>לבנון</t>
        </is>
      </c>
      <c r="AH4" s="26" t="inlineStr">
        <is>
          <t>לבנון</t>
        </is>
      </c>
      <c r="AI4" s="26" t="inlineStr">
        <is>
          <t>לבנון</t>
        </is>
      </c>
      <c r="AJ4" s="26" t="inlineStr">
        <is>
          <t>לבנון</t>
        </is>
      </c>
      <c r="AK4" s="26" t="inlineStr">
        <is>
          <t>לבנון</t>
        </is>
      </c>
      <c r="AL4" s="26" t="inlineStr">
        <is>
          <t>לבנון</t>
        </is>
      </c>
      <c r="AM4" s="26" t="inlineStr">
        <is>
          <t>לבנון</t>
        </is>
      </c>
      <c r="AN4" s="26" t="inlineStr">
        <is>
          <t>לבנון</t>
        </is>
      </c>
      <c r="AO4" s="26" t="inlineStr">
        <is>
          <t>לבנון</t>
        </is>
      </c>
      <c r="AP4" s="26" t="inlineStr">
        <is>
          <t>לבנון</t>
        </is>
      </c>
      <c r="AQ4" s="26" t="inlineStr">
        <is>
          <t>לבנון</t>
        </is>
      </c>
      <c r="AR4" s="26" t="inlineStr">
        <is>
          <t>לבנון</t>
        </is>
      </c>
      <c r="AS4" s="26" t="inlineStr">
        <is>
          <t>לבנון</t>
        </is>
      </c>
      <c r="AT4" s="26" t="inlineStr">
        <is>
          <t>לבנון</t>
        </is>
      </c>
      <c r="AU4" s="26" t="inlineStr">
        <is>
          <t>לבנון</t>
        </is>
      </c>
      <c r="AV4" s="26" t="inlineStr">
        <is>
          <t>לבנון</t>
        </is>
      </c>
      <c r="AW4" s="26" t="inlineStr">
        <is>
          <t>לבנון</t>
        </is>
      </c>
      <c r="AX4" s="26" t="inlineStr">
        <is>
          <t>לבנון</t>
        </is>
      </c>
      <c r="AY4" s="26" t="inlineStr">
        <is>
          <t>לבנון</t>
        </is>
      </c>
      <c r="AZ4" s="26" t="inlineStr">
        <is>
          <t>לבנון</t>
        </is>
      </c>
      <c r="BA4" s="26" t="inlineStr">
        <is>
          <t>לבנון</t>
        </is>
      </c>
      <c r="BB4" s="26" t="inlineStr">
        <is>
          <t>לבנון</t>
        </is>
      </c>
      <c r="BC4" s="26" t="inlineStr">
        <is>
          <t>לבנון</t>
        </is>
      </c>
      <c r="BD4" s="26" t="inlineStr">
        <is>
          <t>לבנון</t>
        </is>
      </c>
      <c r="BE4" s="26" t="inlineStr">
        <is>
          <t>לבנון</t>
        </is>
      </c>
      <c r="BF4" s="26" t="inlineStr">
        <is>
          <t>לבנון</t>
        </is>
      </c>
      <c r="BG4" s="26" t="inlineStr">
        <is>
          <t>לבנון</t>
        </is>
      </c>
      <c r="BH4" s="26" t="inlineStr">
        <is>
          <t>לבנון</t>
        </is>
      </c>
      <c r="BI4" s="26" t="inlineStr">
        <is>
          <t>לבנון</t>
        </is>
      </c>
      <c r="BJ4" s="26" t="inlineStr">
        <is>
          <t>לבנון</t>
        </is>
      </c>
      <c r="BK4" s="26" t="inlineStr">
        <is>
          <t>לבנון</t>
        </is>
      </c>
      <c r="BL4" s="26" t="inlineStr">
        <is>
          <t>לבנון</t>
        </is>
      </c>
      <c r="BM4" s="26" t="inlineStr">
        <is>
          <t>לבנון</t>
        </is>
      </c>
      <c r="BN4" s="26" t="inlineStr">
        <is>
          <t>לבנון</t>
        </is>
      </c>
      <c r="BO4" s="26" t="inlineStr">
        <is>
          <t>לבנון</t>
        </is>
      </c>
      <c r="BP4" s="26" t="inlineStr">
        <is>
          <t>לבנון</t>
        </is>
      </c>
      <c r="BQ4" s="26" t="inlineStr">
        <is>
          <t>לבנון</t>
        </is>
      </c>
      <c r="BR4" s="26" t="inlineStr">
        <is>
          <t>לבנון</t>
        </is>
      </c>
      <c r="BS4" s="26" t="inlineStr">
        <is>
          <t>לבנון</t>
        </is>
      </c>
      <c r="BT4" s="26" t="inlineStr">
        <is>
          <t>לבנון</t>
        </is>
      </c>
      <c r="BU4" s="26" t="inlineStr">
        <is>
          <t>לבנון</t>
        </is>
      </c>
      <c r="BV4" s="26" t="inlineStr">
        <is>
          <t>לבנון</t>
        </is>
      </c>
      <c r="BW4" s="26" t="inlineStr">
        <is>
          <t>לבנון</t>
        </is>
      </c>
      <c r="BX4" s="26" t="inlineStr">
        <is>
          <t>לבנון</t>
        </is>
      </c>
      <c r="BY4" s="26" t="inlineStr">
        <is>
          <t>לבנון</t>
        </is>
      </c>
      <c r="BZ4" s="26" t="inlineStr">
        <is>
          <t>לבנון</t>
        </is>
      </c>
      <c r="CA4" s="26" t="inlineStr">
        <is>
          <t>לבנון</t>
        </is>
      </c>
      <c r="CB4" s="26" t="inlineStr">
        <is>
          <t>לבנון</t>
        </is>
      </c>
      <c r="CC4" s="26" t="n"/>
      <c r="CD4" s="26" t="n"/>
      <c r="CE4" s="26" t="n"/>
      <c r="CF4" s="26" t="n"/>
      <c r="CG4" s="26" t="n"/>
      <c r="CH4" s="26" t="n"/>
      <c r="CI4" s="26" t="n"/>
      <c r="CJ4" s="26" t="n"/>
      <c r="CK4" s="26" t="n"/>
      <c r="CL4" s="26" t="n"/>
      <c r="CM4" s="26" t="n"/>
      <c r="CN4" s="26" t="n"/>
      <c r="CO4" s="26" t="n"/>
      <c r="CP4" s="26" t="n"/>
      <c r="CQ4" s="26" t="n"/>
      <c r="CR4" s="26" t="n"/>
      <c r="CS4" s="26" t="n"/>
      <c r="CT4" s="26" t="n"/>
      <c r="CU4" s="26" t="n"/>
      <c r="CV4" s="26" t="n"/>
      <c r="CW4" s="26" t="n"/>
      <c r="CX4" s="26" t="n"/>
      <c r="CY4" s="26" t="n"/>
      <c r="CZ4" s="26" t="n"/>
      <c r="DA4" s="26" t="n"/>
      <c r="DB4" s="7" t="n"/>
      <c r="DC4" s="7" t="n"/>
      <c r="DD4" s="7" t="n"/>
      <c r="DE4" s="7" t="n"/>
    </row>
    <row r="5">
      <c r="A5" s="5" t="inlineStr">
        <is>
          <t>איתי עוזיאל</t>
        </is>
      </c>
      <c r="B5" s="6" t="inlineStr">
        <is>
          <t>קלג</t>
        </is>
      </c>
      <c r="C5" s="7" t="inlineStr">
        <is>
          <t>V</t>
        </is>
      </c>
      <c r="D5" s="8" t="inlineStr">
        <is>
          <t>ת״ש</t>
        </is>
      </c>
      <c r="E5" s="8" t="inlineStr">
        <is>
          <t>ת״ש</t>
        </is>
      </c>
      <c r="F5" s="8" t="inlineStr">
        <is>
          <t>ת״ש</t>
        </is>
      </c>
      <c r="G5" s="8" t="inlineStr">
        <is>
          <t>ת״ש</t>
        </is>
      </c>
      <c r="H5" s="8" t="inlineStr">
        <is>
          <t>ת״ש</t>
        </is>
      </c>
      <c r="I5" s="8" t="n"/>
      <c r="J5" s="8" t="n"/>
      <c r="K5" s="7" t="n"/>
      <c r="L5" s="7" t="n"/>
      <c r="M5" s="7" t="n"/>
      <c r="N5" s="8" t="inlineStr">
        <is>
          <t>בסיס</t>
        </is>
      </c>
      <c r="O5" s="8" t="inlineStr">
        <is>
          <t>בסיס</t>
        </is>
      </c>
      <c r="P5" s="8" t="n"/>
      <c r="Q5" s="8" t="n"/>
      <c r="R5" s="8" t="inlineStr">
        <is>
          <t>בסיס</t>
        </is>
      </c>
      <c r="S5" s="8" t="inlineStr">
        <is>
          <t>בסיס</t>
        </is>
      </c>
      <c r="T5" s="8" t="inlineStr">
        <is>
          <t>בסיס</t>
        </is>
      </c>
      <c r="U5" s="8" t="inlineStr">
        <is>
          <t>בסיס</t>
        </is>
      </c>
      <c r="V5" s="8" t="inlineStr">
        <is>
          <t>בסיס</t>
        </is>
      </c>
      <c r="W5" s="8" t="inlineStr">
        <is>
          <t>בסיס</t>
        </is>
      </c>
      <c r="X5" s="8" t="inlineStr">
        <is>
          <t>בסיס</t>
        </is>
      </c>
      <c r="Y5" s="8" t="inlineStr">
        <is>
          <t>בסיס</t>
        </is>
      </c>
      <c r="Z5" s="8" t="inlineStr">
        <is>
          <t>בסיס</t>
        </is>
      </c>
      <c r="AA5" s="8" t="inlineStr">
        <is>
          <t>בסיס</t>
        </is>
      </c>
      <c r="AB5" s="8" t="inlineStr">
        <is>
          <t>בסיס</t>
        </is>
      </c>
      <c r="AC5" s="8" t="inlineStr">
        <is>
          <t>בסיס</t>
        </is>
      </c>
      <c r="AD5" s="7" t="inlineStr">
        <is>
          <t>חופשה</t>
        </is>
      </c>
      <c r="AE5" s="7" t="inlineStr">
        <is>
          <t>חופשה</t>
        </is>
      </c>
      <c r="AF5" s="7" t="inlineStr">
        <is>
          <t>חופשה</t>
        </is>
      </c>
      <c r="AG5" s="7" t="inlineStr">
        <is>
          <t>בית</t>
        </is>
      </c>
      <c r="AH5" s="7" t="inlineStr">
        <is>
          <t>חופשה</t>
        </is>
      </c>
      <c r="AI5" s="8" t="inlineStr">
        <is>
          <t>בסיס</t>
        </is>
      </c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9">
        <f>COUNTIF(D5:DA5,"בסיס")</f>
        <v/>
      </c>
      <c r="DC5" s="9">
        <f>COUNTIF(D5:DA5,"בית")</f>
        <v/>
      </c>
      <c r="DD5" s="9">
        <f>SUMPRODUCT($D$36:$DA$36,--(D5:DA5="בית"))</f>
        <v/>
      </c>
      <c r="DE5" s="9">
        <f>SUMPRODUCT($D$37:$DA$37,--(D5:DA5="בית"))</f>
        <v/>
      </c>
    </row>
    <row r="6">
      <c r="A6" s="5" t="inlineStr">
        <is>
          <t>אורי עוזיאל</t>
        </is>
      </c>
      <c r="B6" s="6" t="inlineStr">
        <is>
          <t>ס. קלג</t>
        </is>
      </c>
      <c r="C6" s="7" t="inlineStr">
        <is>
          <t>V</t>
        </is>
      </c>
      <c r="D6" s="8" t="inlineStr">
        <is>
          <t>ת״ש</t>
        </is>
      </c>
      <c r="E6" s="8" t="inlineStr">
        <is>
          <t>ת״ש</t>
        </is>
      </c>
      <c r="F6" s="8" t="inlineStr">
        <is>
          <t>ת״ש</t>
        </is>
      </c>
      <c r="G6" s="8" t="inlineStr">
        <is>
          <t>ת״ש</t>
        </is>
      </c>
      <c r="H6" s="8" t="inlineStr">
        <is>
          <t>ת״ש</t>
        </is>
      </c>
      <c r="I6" s="8" t="n"/>
      <c r="J6" s="8" t="n"/>
      <c r="K6" s="7" t="n"/>
      <c r="L6" s="7" t="n"/>
      <c r="M6" s="7" t="n"/>
      <c r="N6" s="8" t="inlineStr">
        <is>
          <t>בסיס</t>
        </is>
      </c>
      <c r="O6" s="8" t="inlineStr">
        <is>
          <t>בסיס</t>
        </is>
      </c>
      <c r="P6" s="8" t="n"/>
      <c r="Q6" s="8" t="n"/>
      <c r="R6" s="8" t="inlineStr">
        <is>
          <t>בסיס</t>
        </is>
      </c>
      <c r="S6" s="8" t="inlineStr">
        <is>
          <t>בסיס</t>
        </is>
      </c>
      <c r="T6" s="35" t="inlineStr">
        <is>
          <t>בסיס</t>
        </is>
      </c>
      <c r="U6" s="8" t="inlineStr">
        <is>
          <t>בסיס</t>
        </is>
      </c>
      <c r="V6" s="8" t="inlineStr">
        <is>
          <t>בסיס</t>
        </is>
      </c>
      <c r="W6" s="7" t="inlineStr">
        <is>
          <t>חופשה</t>
        </is>
      </c>
      <c r="X6" s="7" t="inlineStr">
        <is>
          <t>חופשה</t>
        </is>
      </c>
      <c r="Y6" s="7" t="inlineStr">
        <is>
          <t>חופשה</t>
        </is>
      </c>
      <c r="Z6" s="7" t="inlineStr">
        <is>
          <t>חופשה</t>
        </is>
      </c>
      <c r="AA6" s="7" t="inlineStr">
        <is>
          <t>חופשה</t>
        </is>
      </c>
      <c r="AB6" s="7" t="inlineStr">
        <is>
          <t>חופשה</t>
        </is>
      </c>
      <c r="AC6" s="8" t="inlineStr">
        <is>
          <t>בסיס</t>
        </is>
      </c>
      <c r="AD6" s="8" t="inlineStr">
        <is>
          <t>בסיס</t>
        </is>
      </c>
      <c r="AE6" s="8" t="inlineStr">
        <is>
          <t>בסיס</t>
        </is>
      </c>
      <c r="AF6" s="8" t="inlineStr">
        <is>
          <t>בסיס</t>
        </is>
      </c>
      <c r="AG6" s="8" t="inlineStr">
        <is>
          <t>בסיס</t>
        </is>
      </c>
      <c r="AH6" s="8" t="inlineStr">
        <is>
          <t>בסיס</t>
        </is>
      </c>
      <c r="AI6" s="8" t="inlineStr">
        <is>
          <t>בסיס</t>
        </is>
      </c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9">
        <f>COUNTIF(D6:DA6,"בסיס")</f>
        <v/>
      </c>
      <c r="DC6" s="9">
        <f>COUNTIF(D6:DA6,"בית")</f>
        <v/>
      </c>
      <c r="DD6" s="9">
        <f>SUMPRODUCT($D$36:$DA$36,--(D6:DA6="בית"))</f>
        <v/>
      </c>
      <c r="DE6" s="9">
        <f>SUMPRODUCT($D$37:$DA$37,--(D6:DA6="בית"))</f>
        <v/>
      </c>
    </row>
    <row r="7">
      <c r="A7" s="5" t="inlineStr">
        <is>
          <t>ינון איזון</t>
        </is>
      </c>
      <c r="B7" s="6" t="inlineStr">
        <is>
          <t>לוגיסטיקה</t>
        </is>
      </c>
      <c r="C7" s="7" t="inlineStr">
        <is>
          <t>V</t>
        </is>
      </c>
      <c r="D7" s="8" t="inlineStr">
        <is>
          <t>ת״ש</t>
        </is>
      </c>
      <c r="E7" s="8" t="inlineStr">
        <is>
          <t>ת״ש</t>
        </is>
      </c>
      <c r="F7" s="8" t="inlineStr">
        <is>
          <t>ת״ש</t>
        </is>
      </c>
      <c r="G7" s="8" t="inlineStr">
        <is>
          <t>ת״ש</t>
        </is>
      </c>
      <c r="H7" s="8" t="inlineStr">
        <is>
          <t>ת״ש</t>
        </is>
      </c>
      <c r="I7" s="8" t="n"/>
      <c r="J7" s="8" t="n"/>
      <c r="K7" s="7" t="n"/>
      <c r="L7" s="7" t="n"/>
      <c r="M7" s="7" t="n"/>
      <c r="N7" s="8" t="inlineStr">
        <is>
          <t>בסיס</t>
        </is>
      </c>
      <c r="O7" s="8" t="inlineStr">
        <is>
          <t>בסיס</t>
        </is>
      </c>
      <c r="P7" s="8" t="n"/>
      <c r="Q7" s="8" t="n"/>
      <c r="R7" s="8" t="inlineStr">
        <is>
          <t>בסיס</t>
        </is>
      </c>
      <c r="S7" s="8" t="inlineStr">
        <is>
          <t>בסיס</t>
        </is>
      </c>
      <c r="T7" s="8" t="inlineStr">
        <is>
          <t>בסיס</t>
        </is>
      </c>
      <c r="U7" s="8" t="inlineStr">
        <is>
          <t>בסיס</t>
        </is>
      </c>
      <c r="V7" s="8" t="inlineStr">
        <is>
          <t>בסיס</t>
        </is>
      </c>
      <c r="W7" s="8" t="inlineStr">
        <is>
          <t>בסיס</t>
        </is>
      </c>
      <c r="X7" s="8" t="inlineStr">
        <is>
          <t>בסיס</t>
        </is>
      </c>
      <c r="Y7" s="8" t="inlineStr">
        <is>
          <t>בסיס</t>
        </is>
      </c>
      <c r="Z7" s="8" t="inlineStr">
        <is>
          <t>בסיס</t>
        </is>
      </c>
      <c r="AA7" s="8" t="inlineStr">
        <is>
          <t>בסיס</t>
        </is>
      </c>
      <c r="AB7" s="7" t="inlineStr">
        <is>
          <t>חופשה</t>
        </is>
      </c>
      <c r="AC7" s="7" t="inlineStr">
        <is>
          <t>חופשה</t>
        </is>
      </c>
      <c r="AD7" s="7" t="inlineStr">
        <is>
          <t>חופשה</t>
        </is>
      </c>
      <c r="AE7" s="7" t="inlineStr">
        <is>
          <t>חופשה</t>
        </is>
      </c>
      <c r="AF7" s="7" t="inlineStr">
        <is>
          <t>חופשה</t>
        </is>
      </c>
      <c r="AG7" s="7" t="inlineStr">
        <is>
          <t>חופשה</t>
        </is>
      </c>
      <c r="AH7" s="8" t="inlineStr">
        <is>
          <t>בסיס</t>
        </is>
      </c>
      <c r="AI7" s="8" t="inlineStr">
        <is>
          <t>בסיס</t>
        </is>
      </c>
      <c r="AJ7" s="8" t="inlineStr">
        <is>
          <t>בסיס</t>
        </is>
      </c>
      <c r="AK7" s="8" t="inlineStr">
        <is>
          <t>בסיס</t>
        </is>
      </c>
      <c r="AL7" s="8" t="inlineStr">
        <is>
          <t>בסיס</t>
        </is>
      </c>
      <c r="AM7" s="8" t="inlineStr">
        <is>
          <t>בסיס</t>
        </is>
      </c>
      <c r="AN7" s="8" t="inlineStr">
        <is>
          <t>בסיס</t>
        </is>
      </c>
      <c r="AO7" s="8" t="inlineStr">
        <is>
          <t>בסיס</t>
        </is>
      </c>
      <c r="AP7" s="8" t="inlineStr">
        <is>
          <t>בסיס</t>
        </is>
      </c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9">
        <f>COUNTIF(D7:DA7,"בסיס")</f>
        <v/>
      </c>
      <c r="DC7" s="9">
        <f>COUNTIF(D7:DA7,"בית")</f>
        <v/>
      </c>
      <c r="DD7" s="9">
        <f>SUMPRODUCT($D$36:$DA$36,--(D7:DA7="בית"))</f>
        <v/>
      </c>
      <c r="DE7" s="9">
        <f>SUMPRODUCT($D$37:$DA$37,--(D7:DA7="בית"))</f>
        <v/>
      </c>
    </row>
    <row r="8">
      <c r="A8" s="5" t="inlineStr">
        <is>
          <t>שי ארנלדס</t>
        </is>
      </c>
      <c r="B8" s="6" t="inlineStr">
        <is>
          <t>מחתים</t>
        </is>
      </c>
      <c r="C8" s="7" t="inlineStr">
        <is>
          <t>V</t>
        </is>
      </c>
      <c r="D8" s="8" t="inlineStr">
        <is>
          <t>ת״ש</t>
        </is>
      </c>
      <c r="E8" s="8" t="inlineStr">
        <is>
          <t>ת״ש</t>
        </is>
      </c>
      <c r="F8" s="8" t="inlineStr">
        <is>
          <t>ת״ש</t>
        </is>
      </c>
      <c r="G8" s="8" t="inlineStr">
        <is>
          <t>ת״ש</t>
        </is>
      </c>
      <c r="H8" s="8" t="inlineStr">
        <is>
          <t>ת״ש</t>
        </is>
      </c>
      <c r="I8" s="7" t="n"/>
      <c r="J8" s="7" t="n"/>
      <c r="K8" s="7" t="n"/>
      <c r="L8" s="7" t="n"/>
      <c r="M8" s="7" t="n"/>
      <c r="N8" s="7" t="n"/>
      <c r="O8" s="8" t="inlineStr">
        <is>
          <t>בסיס</t>
        </is>
      </c>
      <c r="P8" s="7" t="n"/>
      <c r="Q8" s="7" t="n"/>
      <c r="R8" s="8" t="inlineStr">
        <is>
          <t>בסיס</t>
        </is>
      </c>
      <c r="S8" s="8" t="inlineStr">
        <is>
          <t>בסיס</t>
        </is>
      </c>
      <c r="T8" s="8" t="inlineStr">
        <is>
          <t>בסיס</t>
        </is>
      </c>
      <c r="U8" s="8" t="inlineStr">
        <is>
          <t>בסיס</t>
        </is>
      </c>
      <c r="V8" s="8" t="inlineStr">
        <is>
          <t>בסיס</t>
        </is>
      </c>
      <c r="W8" s="8" t="inlineStr">
        <is>
          <t>בסיס</t>
        </is>
      </c>
      <c r="X8" s="8" t="inlineStr">
        <is>
          <t>בסיס</t>
        </is>
      </c>
      <c r="Y8" s="8" t="inlineStr">
        <is>
          <t>בסיס</t>
        </is>
      </c>
      <c r="Z8" s="8" t="inlineStr">
        <is>
          <t>בסיס</t>
        </is>
      </c>
      <c r="AA8" s="7" t="inlineStr">
        <is>
          <t>חופשה</t>
        </is>
      </c>
      <c r="AB8" s="7" t="inlineStr">
        <is>
          <t>חופשה</t>
        </is>
      </c>
      <c r="AC8" s="7" t="inlineStr">
        <is>
          <t>חופשה</t>
        </is>
      </c>
      <c r="AD8" s="7" t="inlineStr">
        <is>
          <t>חופשה</t>
        </is>
      </c>
      <c r="AE8" s="7" t="inlineStr">
        <is>
          <t>חופשה</t>
        </is>
      </c>
      <c r="AF8" s="7" t="inlineStr">
        <is>
          <t>חופשה</t>
        </is>
      </c>
      <c r="AG8" s="7" t="inlineStr">
        <is>
          <t>בסיס</t>
        </is>
      </c>
      <c r="AH8" s="7" t="inlineStr">
        <is>
          <t>בסיס</t>
        </is>
      </c>
      <c r="AI8" s="7" t="inlineStr">
        <is>
          <t>בסיס</t>
        </is>
      </c>
      <c r="AJ8" s="7" t="inlineStr">
        <is>
          <t>בסיס</t>
        </is>
      </c>
      <c r="AK8" s="7" t="inlineStr">
        <is>
          <t>בסיס</t>
        </is>
      </c>
      <c r="AL8" s="7" t="inlineStr">
        <is>
          <t>בסיס</t>
        </is>
      </c>
      <c r="AM8" s="7" t="inlineStr">
        <is>
          <t>בסיס</t>
        </is>
      </c>
      <c r="AN8" s="7" t="inlineStr">
        <is>
          <t>בסיס</t>
        </is>
      </c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9">
        <f>COUNTIF(D8:DA8,"בסיס")</f>
        <v/>
      </c>
      <c r="DC8" s="9">
        <f>COUNTIF(D8:DA8,"בית")</f>
        <v/>
      </c>
      <c r="DD8" s="9">
        <f>SUMPRODUCT($D$36:$DA$36,--(D8:DA8="בית"))</f>
        <v/>
      </c>
      <c r="DE8" s="9">
        <f>SUMPRODUCT($D$37:$DA$37,--(D8:DA8="בית"))</f>
        <v/>
      </c>
    </row>
    <row r="9">
      <c r="A9" s="5" t="inlineStr">
        <is>
          <t>איתי שמש</t>
        </is>
      </c>
      <c r="B9" s="6" t="inlineStr">
        <is>
          <t>מחתים</t>
        </is>
      </c>
      <c r="C9" s="7" t="inlineStr">
        <is>
          <t>V</t>
        </is>
      </c>
      <c r="D9" s="8" t="inlineStr">
        <is>
          <t>ת״ש</t>
        </is>
      </c>
      <c r="E9" s="8" t="inlineStr">
        <is>
          <t>ת״ש</t>
        </is>
      </c>
      <c r="F9" s="8" t="inlineStr">
        <is>
          <t>ת״ש</t>
        </is>
      </c>
      <c r="G9" s="8" t="inlineStr">
        <is>
          <t>ת״ש</t>
        </is>
      </c>
      <c r="H9" s="8" t="inlineStr">
        <is>
          <t>ת״ש</t>
        </is>
      </c>
      <c r="I9" s="7" t="n"/>
      <c r="J9" s="7" t="n"/>
      <c r="K9" s="7" t="n"/>
      <c r="L9" s="7" t="inlineStr">
        <is>
          <t>חופשה</t>
        </is>
      </c>
      <c r="M9" s="7" t="n"/>
      <c r="N9" s="7" t="n"/>
      <c r="O9" s="8" t="inlineStr">
        <is>
          <t>בסיס</t>
        </is>
      </c>
      <c r="P9" s="7" t="n"/>
      <c r="Q9" s="7" t="n"/>
      <c r="R9" s="7" t="inlineStr">
        <is>
          <t>בסיס</t>
        </is>
      </c>
      <c r="S9" s="7" t="inlineStr">
        <is>
          <t>בסיס</t>
        </is>
      </c>
      <c r="T9" s="7" t="inlineStr">
        <is>
          <t>בסיס</t>
        </is>
      </c>
      <c r="U9" s="7" t="inlineStr">
        <is>
          <t>בסיס</t>
        </is>
      </c>
      <c r="V9" s="7" t="inlineStr">
        <is>
          <t>חופשה</t>
        </is>
      </c>
      <c r="W9" s="7" t="inlineStr">
        <is>
          <t>חופשה</t>
        </is>
      </c>
      <c r="X9" s="7" t="inlineStr">
        <is>
          <t>חופשה</t>
        </is>
      </c>
      <c r="Y9" s="7" t="inlineStr">
        <is>
          <t>חופשה</t>
        </is>
      </c>
      <c r="Z9" s="7" t="inlineStr">
        <is>
          <t>חופשה</t>
        </is>
      </c>
      <c r="AA9" s="7" t="inlineStr">
        <is>
          <t>חופשה</t>
        </is>
      </c>
      <c r="AB9" s="7" t="inlineStr">
        <is>
          <t>בסיס</t>
        </is>
      </c>
      <c r="AC9" s="7" t="inlineStr">
        <is>
          <t>בסיס</t>
        </is>
      </c>
      <c r="AD9" s="7" t="inlineStr">
        <is>
          <t>בסיס</t>
        </is>
      </c>
      <c r="AE9" s="7" t="inlineStr">
        <is>
          <t>בסיס</t>
        </is>
      </c>
      <c r="AF9" s="7" t="inlineStr">
        <is>
          <t>בסיס</t>
        </is>
      </c>
      <c r="AG9" s="7" t="inlineStr">
        <is>
          <t>בסיס</t>
        </is>
      </c>
      <c r="AH9" s="7" t="inlineStr">
        <is>
          <t>בסיס</t>
        </is>
      </c>
      <c r="AI9" s="7" t="inlineStr">
        <is>
          <t>בסיס</t>
        </is>
      </c>
      <c r="AJ9" s="7" t="inlineStr">
        <is>
          <t>חופשה</t>
        </is>
      </c>
      <c r="AK9" s="7" t="inlineStr">
        <is>
          <t>חופשה</t>
        </is>
      </c>
      <c r="AL9" s="7" t="inlineStr">
        <is>
          <t>חופשה</t>
        </is>
      </c>
      <c r="AM9" s="7" t="inlineStr">
        <is>
          <t>חופשה</t>
        </is>
      </c>
      <c r="AN9" s="7" t="inlineStr">
        <is>
          <t>חופשה</t>
        </is>
      </c>
      <c r="AO9" s="7" t="inlineStr">
        <is>
          <t>חופשה</t>
        </is>
      </c>
      <c r="AP9" s="7" t="inlineStr">
        <is>
          <t>בסיס</t>
        </is>
      </c>
      <c r="AQ9" s="7" t="inlineStr">
        <is>
          <t>בסיס</t>
        </is>
      </c>
      <c r="AR9" s="7" t="inlineStr">
        <is>
          <t>בסיס</t>
        </is>
      </c>
      <c r="AS9" s="7" t="inlineStr">
        <is>
          <t>בסיס</t>
        </is>
      </c>
      <c r="AT9" s="7" t="inlineStr">
        <is>
          <t>בסיס</t>
        </is>
      </c>
      <c r="AU9" s="7" t="inlineStr">
        <is>
          <t>בסיס</t>
        </is>
      </c>
      <c r="AV9" s="7" t="inlineStr">
        <is>
          <t>בסיס</t>
        </is>
      </c>
      <c r="AW9" s="7" t="inlineStr">
        <is>
          <t>בסיס</t>
        </is>
      </c>
      <c r="AX9" s="7" t="inlineStr">
        <is>
          <t>חופשה</t>
        </is>
      </c>
      <c r="AY9" s="7" t="inlineStr">
        <is>
          <t>חופשה</t>
        </is>
      </c>
      <c r="AZ9" s="7" t="inlineStr">
        <is>
          <t>חופשה</t>
        </is>
      </c>
      <c r="BA9" s="7" t="inlineStr">
        <is>
          <t>חופשה</t>
        </is>
      </c>
      <c r="BB9" s="7" t="inlineStr">
        <is>
          <t>חופשה</t>
        </is>
      </c>
      <c r="BC9" s="7" t="inlineStr">
        <is>
          <t>חופשה</t>
        </is>
      </c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9">
        <f>COUNTIF(D9:DA9,"בסיס")</f>
        <v/>
      </c>
      <c r="DC9" s="9">
        <f>COUNTIF(D9:DA9,"בית")</f>
        <v/>
      </c>
      <c r="DD9" s="9">
        <f>SUMPRODUCT($D$36:$DA$36,--(D9:DA9="בית"))</f>
        <v/>
      </c>
      <c r="DE9" s="9">
        <f>SUMPRODUCT($D$37:$DA$37,--(D9:DA9="בית"))</f>
        <v/>
      </c>
    </row>
    <row r="10">
      <c r="A10" s="5" t="inlineStr">
        <is>
          <t>אביעד כהן</t>
        </is>
      </c>
      <c r="B10" s="6" t="inlineStr">
        <is>
          <t>מחתים</t>
        </is>
      </c>
      <c r="C10" s="7" t="inlineStr">
        <is>
          <t>V</t>
        </is>
      </c>
      <c r="D10" s="8" t="inlineStr">
        <is>
          <t>ת״ש</t>
        </is>
      </c>
      <c r="E10" s="8" t="inlineStr">
        <is>
          <t>ת״ש</t>
        </is>
      </c>
      <c r="F10" s="8" t="inlineStr">
        <is>
          <t>ת״ש</t>
        </is>
      </c>
      <c r="G10" s="8" t="inlineStr">
        <is>
          <t>ת״ש</t>
        </is>
      </c>
      <c r="H10" s="8" t="inlineStr">
        <is>
          <t>ת״ש</t>
        </is>
      </c>
      <c r="I10" s="7" t="n"/>
      <c r="J10" s="7" t="n"/>
      <c r="K10" s="7" t="n"/>
      <c r="L10" s="7" t="n"/>
      <c r="M10" s="7" t="n"/>
      <c r="N10" s="7" t="n"/>
      <c r="O10" s="8" t="inlineStr">
        <is>
          <t>בסיס</t>
        </is>
      </c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9">
        <f>COUNTIF(D10:DA10,"בסיס")</f>
        <v/>
      </c>
      <c r="DC10" s="9">
        <f>COUNTIF(D10:DA10,"בית")</f>
        <v/>
      </c>
      <c r="DD10" s="9">
        <f>SUMPRODUCT($D$36:$DA$36,--(D10:DA10="בית"))</f>
        <v/>
      </c>
      <c r="DE10" s="9">
        <f>SUMPRODUCT($D$37:$DA$37,--(D10:DA10="בית"))</f>
        <v/>
      </c>
    </row>
    <row r="11">
      <c r="A11" s="5" t="inlineStr">
        <is>
          <t>אזוגי נתנאל</t>
        </is>
      </c>
      <c r="B11" s="6" t="inlineStr">
        <is>
          <t>לוגיסטיקה</t>
        </is>
      </c>
      <c r="C11" s="7" t="inlineStr">
        <is>
          <t>V</t>
        </is>
      </c>
      <c r="D11" s="27" t="inlineStr">
        <is>
          <t>X</t>
        </is>
      </c>
      <c r="E11" s="27" t="inlineStr">
        <is>
          <t>X</t>
        </is>
      </c>
      <c r="F11" s="27" t="inlineStr">
        <is>
          <t>X</t>
        </is>
      </c>
      <c r="G11" s="27" t="inlineStr">
        <is>
          <t>X</t>
        </is>
      </c>
      <c r="H11" s="27" t="inlineStr">
        <is>
          <t>X</t>
        </is>
      </c>
      <c r="I11" s="7" t="n"/>
      <c r="J11" s="7" t="n"/>
      <c r="K11" s="7" t="n"/>
      <c r="L11" s="7" t="n"/>
      <c r="M11" s="7" t="n"/>
      <c r="N11" s="7" t="n"/>
      <c r="O11" s="8" t="inlineStr">
        <is>
          <t>בסיס</t>
        </is>
      </c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9">
        <f>COUNTIF(D11:DA11,"בסיס")</f>
        <v/>
      </c>
      <c r="DC11" s="9">
        <f>COUNTIF(D11:DA11,"בית")</f>
        <v/>
      </c>
      <c r="DD11" s="9">
        <f>SUMPRODUCT($D$36:$DA$36,--(D11:DA11="בית"))</f>
        <v/>
      </c>
      <c r="DE11" s="9">
        <f>SUMPRODUCT($D$37:$DA$37,--(D11:DA11="בית"))</f>
        <v/>
      </c>
    </row>
    <row r="12">
      <c r="A12" s="5" t="inlineStr">
        <is>
          <t>ניב סורוקר</t>
        </is>
      </c>
      <c r="B12" s="6" t="inlineStr">
        <is>
          <t>לוגיסטיקה</t>
        </is>
      </c>
      <c r="C12" s="7" t="inlineStr">
        <is>
          <t>V</t>
        </is>
      </c>
      <c r="D12" s="8" t="inlineStr">
        <is>
          <t>ת״ש</t>
        </is>
      </c>
      <c r="E12" s="8" t="inlineStr">
        <is>
          <t>ת״ש</t>
        </is>
      </c>
      <c r="F12" s="8" t="inlineStr">
        <is>
          <t>ת״ש</t>
        </is>
      </c>
      <c r="G12" s="8" t="inlineStr">
        <is>
          <t>ת״ש</t>
        </is>
      </c>
      <c r="H12" s="8" t="inlineStr">
        <is>
          <t>ת״ש</t>
        </is>
      </c>
      <c r="I12" s="7" t="n"/>
      <c r="J12" s="7" t="n"/>
      <c r="K12" s="7" t="n"/>
      <c r="L12" s="7" t="n"/>
      <c r="M12" s="7" t="n"/>
      <c r="N12" s="7" t="n"/>
      <c r="O12" s="8" t="inlineStr">
        <is>
          <t>בסיס</t>
        </is>
      </c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9">
        <f>COUNTIF(D12:DA12,"בסיס")</f>
        <v/>
      </c>
      <c r="DC12" s="9">
        <f>COUNTIF(D12:DA12,"בית")</f>
        <v/>
      </c>
      <c r="DD12" s="9">
        <f>SUMPRODUCT($D$36:$DA$36,--(D12:DA12="בית"))</f>
        <v/>
      </c>
      <c r="DE12" s="9">
        <f>SUMPRODUCT($D$37:$DA$37,--(D12:DA12="בית"))</f>
        <v/>
      </c>
    </row>
    <row r="13">
      <c r="A13" s="5" t="inlineStr">
        <is>
          <t>צבי לונדין</t>
        </is>
      </c>
      <c r="B13" s="6" t="inlineStr">
        <is>
          <t>לוגיסטיקה</t>
        </is>
      </c>
      <c r="C13" s="7" t="inlineStr">
        <is>
          <t>V</t>
        </is>
      </c>
      <c r="D13" s="8" t="inlineStr">
        <is>
          <t>ת״ש</t>
        </is>
      </c>
      <c r="E13" s="8" t="inlineStr">
        <is>
          <t>ת״ש</t>
        </is>
      </c>
      <c r="F13" s="8" t="inlineStr">
        <is>
          <t>ת״ש</t>
        </is>
      </c>
      <c r="G13" s="8" t="inlineStr">
        <is>
          <t>ת״ש</t>
        </is>
      </c>
      <c r="H13" s="8" t="inlineStr">
        <is>
          <t>ת״ש</t>
        </is>
      </c>
      <c r="I13" s="8" t="n"/>
      <c r="J13" s="8" t="n"/>
      <c r="K13" s="8" t="n"/>
      <c r="L13" s="8" t="n"/>
      <c r="M13" s="8" t="n"/>
      <c r="N13" s="8" t="n"/>
      <c r="O13" s="8" t="inlineStr">
        <is>
          <t>בסיס</t>
        </is>
      </c>
      <c r="P13" s="8" t="n"/>
      <c r="Q13" s="8" t="n"/>
      <c r="R13" s="8" t="inlineStr">
        <is>
          <t>בסיס</t>
        </is>
      </c>
      <c r="S13" s="8" t="inlineStr">
        <is>
          <t>בסיס</t>
        </is>
      </c>
      <c r="T13" s="8" t="inlineStr">
        <is>
          <t>בסיס</t>
        </is>
      </c>
      <c r="U13" s="8" t="inlineStr">
        <is>
          <t>בסיס</t>
        </is>
      </c>
      <c r="V13" s="8" t="inlineStr">
        <is>
          <t>בסיס</t>
        </is>
      </c>
      <c r="W13" s="8" t="inlineStr">
        <is>
          <t>בסיס</t>
        </is>
      </c>
      <c r="X13" s="8" t="inlineStr">
        <is>
          <t>בסיס</t>
        </is>
      </c>
      <c r="Y13" s="8" t="inlineStr">
        <is>
          <t>בסיס</t>
        </is>
      </c>
      <c r="Z13" s="7" t="inlineStr">
        <is>
          <t>חופשה</t>
        </is>
      </c>
      <c r="AA13" s="7" t="inlineStr">
        <is>
          <t>חופשה</t>
        </is>
      </c>
      <c r="AB13" s="7" t="inlineStr">
        <is>
          <t>חופשה</t>
        </is>
      </c>
      <c r="AC13" s="7" t="inlineStr">
        <is>
          <t>חופשה</t>
        </is>
      </c>
      <c r="AD13" s="7" t="inlineStr">
        <is>
          <t>חופשה</t>
        </is>
      </c>
      <c r="AE13" s="7" t="inlineStr">
        <is>
          <t>חופשה</t>
        </is>
      </c>
      <c r="AF13" s="8" t="inlineStr">
        <is>
          <t>בסיס</t>
        </is>
      </c>
      <c r="AG13" s="8" t="inlineStr">
        <is>
          <t>בסיס</t>
        </is>
      </c>
      <c r="AH13" s="8" t="inlineStr">
        <is>
          <t>בסיס</t>
        </is>
      </c>
      <c r="AI13" s="8" t="inlineStr">
        <is>
          <t>בסיס</t>
        </is>
      </c>
      <c r="AJ13" s="8" t="inlineStr">
        <is>
          <t>בסיס</t>
        </is>
      </c>
      <c r="AK13" s="8" t="inlineStr">
        <is>
          <t>בסיס</t>
        </is>
      </c>
      <c r="AL13" s="8" t="inlineStr">
        <is>
          <t>בסיס</t>
        </is>
      </c>
      <c r="AM13" s="8" t="inlineStr">
        <is>
          <t>בסיס</t>
        </is>
      </c>
      <c r="AN13" s="7" t="inlineStr">
        <is>
          <t>חופשה</t>
        </is>
      </c>
      <c r="AO13" s="7" t="inlineStr">
        <is>
          <t>חופשה</t>
        </is>
      </c>
      <c r="AP13" s="7" t="inlineStr">
        <is>
          <t>חופשה</t>
        </is>
      </c>
      <c r="AQ13" s="7" t="inlineStr">
        <is>
          <t>חופשה</t>
        </is>
      </c>
      <c r="AR13" s="7" t="inlineStr">
        <is>
          <t>חופשה</t>
        </is>
      </c>
      <c r="AS13" s="7" t="inlineStr">
        <is>
          <t>חופשה</t>
        </is>
      </c>
      <c r="AT13" s="8" t="inlineStr">
        <is>
          <t>בסיס</t>
        </is>
      </c>
      <c r="AU13" s="8" t="inlineStr">
        <is>
          <t>בסיס</t>
        </is>
      </c>
      <c r="AV13" s="8" t="inlineStr">
        <is>
          <t>בסיס</t>
        </is>
      </c>
      <c r="AW13" s="8" t="inlineStr">
        <is>
          <t>בסיס</t>
        </is>
      </c>
      <c r="AX13" s="8" t="inlineStr">
        <is>
          <t>בסיס</t>
        </is>
      </c>
      <c r="AY13" s="8" t="inlineStr">
        <is>
          <t>בסיס</t>
        </is>
      </c>
      <c r="AZ13" s="8" t="inlineStr">
        <is>
          <t>בסיס</t>
        </is>
      </c>
      <c r="BA13" s="8" t="inlineStr">
        <is>
          <t>בסיס</t>
        </is>
      </c>
      <c r="BB13" s="7" t="inlineStr">
        <is>
          <t>חופשה</t>
        </is>
      </c>
      <c r="BC13" s="7" t="inlineStr">
        <is>
          <t>חופשה</t>
        </is>
      </c>
      <c r="BD13" s="7" t="inlineStr">
        <is>
          <t>חופשה</t>
        </is>
      </c>
      <c r="BE13" s="7" t="inlineStr">
        <is>
          <t>חופשה</t>
        </is>
      </c>
      <c r="BF13" s="7" t="inlineStr">
        <is>
          <t>חופשה</t>
        </is>
      </c>
      <c r="BG13" s="7" t="inlineStr">
        <is>
          <t>חופשה</t>
        </is>
      </c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9">
        <f>COUNTIF(D13:DA13,"בסיס")</f>
        <v/>
      </c>
      <c r="DC13" s="9">
        <f>COUNTIF(D13:DA13,"בית")</f>
        <v/>
      </c>
      <c r="DD13" s="9">
        <f>SUMPRODUCT($D$36:$DA$36,--(D13:DA13="בית"))</f>
        <v/>
      </c>
      <c r="DE13" s="9">
        <f>SUMPRODUCT($D$37:$DA$37,--(D13:DA13="בית"))</f>
        <v/>
      </c>
    </row>
    <row r="14">
      <c r="A14" s="5" t="inlineStr">
        <is>
          <t>יוסף חגואל</t>
        </is>
      </c>
      <c r="B14" s="6" t="inlineStr">
        <is>
          <t>לוגיסטיקה</t>
        </is>
      </c>
      <c r="C14" s="7" t="inlineStr">
        <is>
          <t>V</t>
        </is>
      </c>
      <c r="D14" s="8" t="inlineStr">
        <is>
          <t>ת״ש</t>
        </is>
      </c>
      <c r="E14" s="8" t="inlineStr">
        <is>
          <t>ת״ש</t>
        </is>
      </c>
      <c r="F14" s="8" t="inlineStr">
        <is>
          <t>ת״ש</t>
        </is>
      </c>
      <c r="G14" s="8" t="inlineStr">
        <is>
          <t>ת״ש</t>
        </is>
      </c>
      <c r="H14" s="8" t="inlineStr">
        <is>
          <t>ת״ש</t>
        </is>
      </c>
      <c r="I14" s="8" t="n"/>
      <c r="J14" s="8" t="n"/>
      <c r="K14" s="8" t="n"/>
      <c r="L14" s="8" t="n"/>
      <c r="M14" s="8" t="n"/>
      <c r="N14" s="8" t="n"/>
      <c r="O14" s="8" t="inlineStr">
        <is>
          <t>בסיס</t>
        </is>
      </c>
      <c r="P14" s="8" t="n"/>
      <c r="Q14" s="8" t="n"/>
      <c r="R14" s="8" t="inlineStr">
        <is>
          <t>בסיס</t>
        </is>
      </c>
      <c r="S14" s="8" t="inlineStr">
        <is>
          <t>בסיס</t>
        </is>
      </c>
      <c r="T14" s="8" t="inlineStr">
        <is>
          <t>בסיס</t>
        </is>
      </c>
      <c r="U14" s="8" t="inlineStr">
        <is>
          <t>בסיס</t>
        </is>
      </c>
      <c r="V14" s="8" t="inlineStr">
        <is>
          <t>בסיס</t>
        </is>
      </c>
      <c r="W14" s="8" t="inlineStr">
        <is>
          <t>בסיס</t>
        </is>
      </c>
      <c r="X14" s="8" t="inlineStr">
        <is>
          <t>בסיס</t>
        </is>
      </c>
      <c r="Y14" s="8" t="inlineStr">
        <is>
          <t>בסיס</t>
        </is>
      </c>
      <c r="Z14" s="8" t="inlineStr">
        <is>
          <t>בסיס</t>
        </is>
      </c>
      <c r="AA14" s="8" t="inlineStr">
        <is>
          <t>בסיס</t>
        </is>
      </c>
      <c r="AB14" s="7" t="inlineStr">
        <is>
          <t>חופשה</t>
        </is>
      </c>
      <c r="AC14" s="7" t="inlineStr">
        <is>
          <t>חופשה</t>
        </is>
      </c>
      <c r="AD14" s="7" t="inlineStr">
        <is>
          <t>חופשה</t>
        </is>
      </c>
      <c r="AE14" s="7" t="inlineStr">
        <is>
          <t>חופשה</t>
        </is>
      </c>
      <c r="AF14" s="7" t="inlineStr">
        <is>
          <t>חופשה</t>
        </is>
      </c>
      <c r="AG14" s="7" t="inlineStr">
        <is>
          <t>חופשה</t>
        </is>
      </c>
      <c r="AH14" s="8" t="inlineStr">
        <is>
          <t>בסיס</t>
        </is>
      </c>
      <c r="AI14" s="8" t="inlineStr">
        <is>
          <t>בסיס</t>
        </is>
      </c>
      <c r="AJ14" s="8" t="inlineStr">
        <is>
          <t>בסיס</t>
        </is>
      </c>
      <c r="AK14" s="8" t="inlineStr">
        <is>
          <t>בסיס</t>
        </is>
      </c>
      <c r="AL14" s="8" t="inlineStr">
        <is>
          <t>בסיס</t>
        </is>
      </c>
      <c r="AM14" s="8" t="inlineStr">
        <is>
          <t>בסיס</t>
        </is>
      </c>
      <c r="AN14" s="8" t="inlineStr">
        <is>
          <t>בסיס</t>
        </is>
      </c>
      <c r="AO14" s="8" t="inlineStr">
        <is>
          <t>בסיס</t>
        </is>
      </c>
      <c r="AP14" s="8" t="inlineStr">
        <is>
          <t>בסיס</t>
        </is>
      </c>
      <c r="AQ14" s="8" t="inlineStr">
        <is>
          <t>בסיס</t>
        </is>
      </c>
      <c r="AR14" s="7" t="inlineStr">
        <is>
          <t>חופשה</t>
        </is>
      </c>
      <c r="AS14" s="7" t="inlineStr">
        <is>
          <t>חופשה</t>
        </is>
      </c>
      <c r="AT14" s="7" t="inlineStr">
        <is>
          <t>חופשה</t>
        </is>
      </c>
      <c r="AU14" s="7" t="inlineStr">
        <is>
          <t>חופשה</t>
        </is>
      </c>
      <c r="AV14" s="7" t="inlineStr">
        <is>
          <t>חופשה</t>
        </is>
      </c>
      <c r="AW14" s="7" t="inlineStr">
        <is>
          <t>חופשה</t>
        </is>
      </c>
      <c r="AX14" s="8" t="inlineStr">
        <is>
          <t>בסיס</t>
        </is>
      </c>
      <c r="AY14" s="8" t="inlineStr">
        <is>
          <t>בסיס</t>
        </is>
      </c>
      <c r="AZ14" s="8" t="inlineStr">
        <is>
          <t>בסיס</t>
        </is>
      </c>
      <c r="BA14" s="8" t="inlineStr">
        <is>
          <t>בסיס</t>
        </is>
      </c>
      <c r="BB14" s="8" t="inlineStr">
        <is>
          <t>בסיס</t>
        </is>
      </c>
      <c r="BC14" s="8" t="inlineStr">
        <is>
          <t>בסיס</t>
        </is>
      </c>
      <c r="BD14" s="8" t="inlineStr">
        <is>
          <t>בסיס</t>
        </is>
      </c>
      <c r="BE14" s="8" t="inlineStr">
        <is>
          <t>בסיס</t>
        </is>
      </c>
      <c r="BF14" s="8" t="inlineStr">
        <is>
          <t>בסיס</t>
        </is>
      </c>
      <c r="BG14" s="8" t="inlineStr">
        <is>
          <t>בסיס</t>
        </is>
      </c>
      <c r="BH14" s="8" t="inlineStr">
        <is>
          <t>בסיס</t>
        </is>
      </c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9">
        <f>COUNTIF(D14:DA14,"בסיס")</f>
        <v/>
      </c>
      <c r="DC14" s="9">
        <f>COUNTIF(D14:DA14,"בית")</f>
        <v/>
      </c>
      <c r="DD14" s="9">
        <f>SUMPRODUCT($D$36:$DA$36,--(D14:DA14="בית"))</f>
        <v/>
      </c>
      <c r="DE14" s="9">
        <f>SUMPRODUCT($D$37:$DA$37,--(D14:DA14="בית"))</f>
        <v/>
      </c>
    </row>
    <row r="15">
      <c r="A15" s="5" t="inlineStr">
        <is>
          <t>אדם ממן</t>
        </is>
      </c>
      <c r="B15" s="6" t="inlineStr">
        <is>
          <t>לוגיסטיקה</t>
        </is>
      </c>
      <c r="C15" s="7" t="inlineStr">
        <is>
          <t>V</t>
        </is>
      </c>
      <c r="D15" s="8" t="inlineStr">
        <is>
          <t>ת״ש</t>
        </is>
      </c>
      <c r="E15" s="8" t="inlineStr">
        <is>
          <t>ת״ש</t>
        </is>
      </c>
      <c r="F15" s="8" t="inlineStr">
        <is>
          <t>ת״ש</t>
        </is>
      </c>
      <c r="G15" s="8" t="inlineStr">
        <is>
          <t>ת״ש</t>
        </is>
      </c>
      <c r="H15" s="8" t="inlineStr">
        <is>
          <t>ת״ש</t>
        </is>
      </c>
      <c r="I15" s="7" t="n"/>
      <c r="J15" s="7" t="n"/>
      <c r="K15" s="7" t="n"/>
      <c r="L15" s="7" t="n"/>
      <c r="M15" s="7" t="n"/>
      <c r="N15" s="7" t="n"/>
      <c r="O15" s="8" t="inlineStr">
        <is>
          <t>בסיס</t>
        </is>
      </c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9">
        <f>COUNTIF(D15:DA15,"בסיס")</f>
        <v/>
      </c>
      <c r="DC15" s="9">
        <f>COUNTIF(D15:DA15,"בית")</f>
        <v/>
      </c>
      <c r="DD15" s="9">
        <f>SUMPRODUCT($D$36:$DA$36,--(D15:DA15="בית"))</f>
        <v/>
      </c>
      <c r="DE15" s="9">
        <f>SUMPRODUCT($D$37:$DA$37,--(D15:DA15="בית"))</f>
        <v/>
      </c>
    </row>
    <row r="16">
      <c r="A16" s="5" t="inlineStr">
        <is>
          <t>גבריאל יעקוביאן</t>
        </is>
      </c>
      <c r="B16" s="6" t="inlineStr">
        <is>
          <t>לוגיסטיקה</t>
        </is>
      </c>
      <c r="C16" s="7" t="inlineStr">
        <is>
          <t>V</t>
        </is>
      </c>
      <c r="D16" s="8" t="inlineStr">
        <is>
          <t>ת״ש</t>
        </is>
      </c>
      <c r="E16" s="8" t="inlineStr">
        <is>
          <t>ת״ש</t>
        </is>
      </c>
      <c r="F16" s="8" t="inlineStr">
        <is>
          <t>ת״ש</t>
        </is>
      </c>
      <c r="G16" s="8" t="inlineStr">
        <is>
          <t>ת״ש</t>
        </is>
      </c>
      <c r="H16" s="8" t="inlineStr">
        <is>
          <t>ת״ש</t>
        </is>
      </c>
      <c r="I16" s="7" t="n"/>
      <c r="J16" s="7" t="n"/>
      <c r="K16" s="7" t="n"/>
      <c r="L16" s="7" t="n"/>
      <c r="M16" s="7" t="n"/>
      <c r="N16" s="7" t="n"/>
      <c r="O16" s="8" t="inlineStr">
        <is>
          <t>בסיס</t>
        </is>
      </c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9">
        <f>COUNTIF(D16:DA16,"בסיס")</f>
        <v/>
      </c>
      <c r="DC16" s="9">
        <f>COUNTIF(D16:DA16,"בית")</f>
        <v/>
      </c>
      <c r="DD16" s="9">
        <f>SUMPRODUCT($D$36:$DA$36,--(D16:DA16="בית"))</f>
        <v/>
      </c>
      <c r="DE16" s="9">
        <f>SUMPRODUCT($D$37:$DA$37,--(D16:DA16="בית"))</f>
        <v/>
      </c>
    </row>
    <row r="17">
      <c r="A17" s="5" t="inlineStr">
        <is>
          <t>יקיר אלימלך</t>
        </is>
      </c>
      <c r="B17" s="6" t="inlineStr">
        <is>
          <t>לוגיסטיקה</t>
        </is>
      </c>
      <c r="C17" s="7" t="inlineStr">
        <is>
          <t>V</t>
        </is>
      </c>
      <c r="D17" s="8" t="inlineStr">
        <is>
          <t>ת״ש</t>
        </is>
      </c>
      <c r="E17" s="8" t="inlineStr">
        <is>
          <t>ת״ש</t>
        </is>
      </c>
      <c r="F17" s="8" t="inlineStr">
        <is>
          <t>ת״ש</t>
        </is>
      </c>
      <c r="G17" s="8" t="inlineStr">
        <is>
          <t>ת״ש</t>
        </is>
      </c>
      <c r="H17" s="8" t="inlineStr">
        <is>
          <t>ת״ש</t>
        </is>
      </c>
      <c r="I17" s="7" t="n"/>
      <c r="J17" s="7" t="n"/>
      <c r="K17" s="7" t="n"/>
      <c r="L17" s="7" t="n"/>
      <c r="M17" s="7" t="n"/>
      <c r="N17" s="7" t="n"/>
      <c r="O17" s="8" t="inlineStr">
        <is>
          <t>בסיס</t>
        </is>
      </c>
      <c r="P17" s="7" t="n"/>
      <c r="Q17" s="7" t="n"/>
      <c r="R17" s="8" t="inlineStr">
        <is>
          <t>בסיס</t>
        </is>
      </c>
      <c r="S17" s="8" t="inlineStr">
        <is>
          <t>בסיס</t>
        </is>
      </c>
      <c r="T17" s="8" t="inlineStr">
        <is>
          <t>בסיס</t>
        </is>
      </c>
      <c r="U17" s="8" t="inlineStr">
        <is>
          <t>בסיס</t>
        </is>
      </c>
      <c r="V17" s="8" t="inlineStr">
        <is>
          <t>בסיס</t>
        </is>
      </c>
      <c r="W17" s="7" t="inlineStr">
        <is>
          <t>חופשה</t>
        </is>
      </c>
      <c r="X17" s="7" t="inlineStr">
        <is>
          <t>חופשה</t>
        </is>
      </c>
      <c r="Y17" s="7" t="inlineStr">
        <is>
          <t>חופשה</t>
        </is>
      </c>
      <c r="Z17" s="7" t="inlineStr">
        <is>
          <t>חופשה</t>
        </is>
      </c>
      <c r="AA17" s="7" t="inlineStr">
        <is>
          <t>חופשה</t>
        </is>
      </c>
      <c r="AB17" s="7" t="inlineStr">
        <is>
          <t>חופשה</t>
        </is>
      </c>
      <c r="AC17" s="8" t="inlineStr">
        <is>
          <t>בסיס</t>
        </is>
      </c>
      <c r="AD17" s="8" t="inlineStr">
        <is>
          <t>בסיס</t>
        </is>
      </c>
      <c r="AE17" s="8" t="inlineStr">
        <is>
          <t>בסיס</t>
        </is>
      </c>
      <c r="AF17" s="8" t="inlineStr">
        <is>
          <t>בסיס</t>
        </is>
      </c>
      <c r="AG17" s="8" t="inlineStr">
        <is>
          <t>בסיס</t>
        </is>
      </c>
      <c r="AH17" s="8" t="inlineStr">
        <is>
          <t>בסיס</t>
        </is>
      </c>
      <c r="AI17" s="8" t="inlineStr">
        <is>
          <t>בסיס</t>
        </is>
      </c>
      <c r="AJ17" s="8" t="inlineStr">
        <is>
          <t>בסיס</t>
        </is>
      </c>
      <c r="AK17" s="7" t="inlineStr">
        <is>
          <t>חופשה</t>
        </is>
      </c>
      <c r="AL17" s="7" t="inlineStr">
        <is>
          <t>חופשה</t>
        </is>
      </c>
      <c r="AM17" s="7" t="inlineStr">
        <is>
          <t>חופשה</t>
        </is>
      </c>
      <c r="AN17" s="7" t="inlineStr">
        <is>
          <t>חופשה</t>
        </is>
      </c>
      <c r="AO17" s="7" t="inlineStr">
        <is>
          <t>חופשה</t>
        </is>
      </c>
      <c r="AP17" s="7" t="inlineStr">
        <is>
          <t>חופשה</t>
        </is>
      </c>
      <c r="AQ17" s="8" t="inlineStr">
        <is>
          <t>בסיס</t>
        </is>
      </c>
      <c r="AR17" s="8" t="inlineStr">
        <is>
          <t>בסיס</t>
        </is>
      </c>
      <c r="AS17" s="8" t="inlineStr">
        <is>
          <t>בסיס</t>
        </is>
      </c>
      <c r="AT17" s="8" t="inlineStr">
        <is>
          <t>בסיס</t>
        </is>
      </c>
      <c r="AU17" s="8" t="inlineStr">
        <is>
          <t>בסיס</t>
        </is>
      </c>
      <c r="AV17" s="8" t="inlineStr">
        <is>
          <t>בסיס</t>
        </is>
      </c>
      <c r="AW17" s="8" t="inlineStr">
        <is>
          <t>בסיס</t>
        </is>
      </c>
      <c r="AX17" s="8" t="inlineStr">
        <is>
          <t>בסיס</t>
        </is>
      </c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9">
        <f>COUNTIF(D17:DA17,"בסיס")</f>
        <v/>
      </c>
      <c r="DC17" s="9">
        <f>COUNTIF(D17:DA17,"בית")</f>
        <v/>
      </c>
      <c r="DD17" s="9">
        <f>SUMPRODUCT($D$36:$DA$36,--(D17:DA17="בית"))</f>
        <v/>
      </c>
      <c r="DE17" s="9">
        <f>SUMPRODUCT($D$37:$DA$37,--(D17:DA17="בית"))</f>
        <v/>
      </c>
    </row>
    <row r="18">
      <c r="A18" s="5" t="inlineStr">
        <is>
          <t>יוסי כהן</t>
        </is>
      </c>
      <c r="B18" s="6" t="inlineStr">
        <is>
          <t>רחפנים-מחתים</t>
        </is>
      </c>
      <c r="C18" s="7" t="inlineStr">
        <is>
          <t>V</t>
        </is>
      </c>
      <c r="D18" s="7" t="n"/>
      <c r="E18" s="7" t="n"/>
      <c r="F18" s="7" t="n"/>
      <c r="G18" s="7" t="inlineStr">
        <is>
          <t>בסיס</t>
        </is>
      </c>
      <c r="H18" s="7" t="inlineStr">
        <is>
          <t>בסיס</t>
        </is>
      </c>
      <c r="I18" s="7" t="n"/>
      <c r="J18" s="7" t="n"/>
      <c r="K18" s="7" t="n"/>
      <c r="L18" s="7" t="n"/>
      <c r="M18" s="7" t="n"/>
      <c r="N18" s="7" t="n"/>
      <c r="O18" s="8" t="inlineStr">
        <is>
          <t>בסיס</t>
        </is>
      </c>
      <c r="P18" s="7" t="n"/>
      <c r="Q18" s="7" t="n"/>
      <c r="R18" s="7" t="inlineStr">
        <is>
          <t>בסיס</t>
        </is>
      </c>
      <c r="S18" s="7" t="inlineStr">
        <is>
          <t>בסיס</t>
        </is>
      </c>
      <c r="T18" s="7" t="inlineStr">
        <is>
          <t>בסיס</t>
        </is>
      </c>
      <c r="U18" s="7" t="inlineStr">
        <is>
          <t>מבחן</t>
        </is>
      </c>
      <c r="V18" s="7" t="inlineStr">
        <is>
          <t>חופשה</t>
        </is>
      </c>
      <c r="W18" s="7" t="inlineStr">
        <is>
          <t>חופשה</t>
        </is>
      </c>
      <c r="X18" s="7" t="inlineStr">
        <is>
          <t>חופשה</t>
        </is>
      </c>
      <c r="Y18" s="7" t="inlineStr">
        <is>
          <t>מבחן</t>
        </is>
      </c>
      <c r="Z18" s="7" t="inlineStr">
        <is>
          <t>חופשה</t>
        </is>
      </c>
      <c r="AA18" s="7" t="inlineStr">
        <is>
          <t>חופשה</t>
        </is>
      </c>
      <c r="AB18" s="7" t="inlineStr">
        <is>
          <t>מבחן</t>
        </is>
      </c>
      <c r="AC18" s="8" t="inlineStr">
        <is>
          <t>בסיס</t>
        </is>
      </c>
      <c r="AD18" s="8" t="inlineStr">
        <is>
          <t>בסיס</t>
        </is>
      </c>
      <c r="AE18" s="8" t="inlineStr">
        <is>
          <t>בסיס</t>
        </is>
      </c>
      <c r="AF18" s="7" t="inlineStr">
        <is>
          <t>מבחן</t>
        </is>
      </c>
      <c r="AG18" s="8" t="inlineStr">
        <is>
          <t>בסיס</t>
        </is>
      </c>
      <c r="AH18" s="8" t="inlineStr">
        <is>
          <t>בסיס</t>
        </is>
      </c>
      <c r="AI18" s="8" t="inlineStr">
        <is>
          <t>בסיס</t>
        </is>
      </c>
      <c r="AJ18" s="8" t="inlineStr">
        <is>
          <t>בסיס</t>
        </is>
      </c>
      <c r="AK18" s="8" t="inlineStr">
        <is>
          <t>בסיס</t>
        </is>
      </c>
      <c r="AL18" s="8" t="inlineStr">
        <is>
          <t>בסיס</t>
        </is>
      </c>
      <c r="AM18" s="7" t="inlineStr">
        <is>
          <t>חופשה</t>
        </is>
      </c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9">
        <f>COUNTIF(D18:DA18,"בסיס")</f>
        <v/>
      </c>
      <c r="DC18" s="9">
        <f>COUNTIF(D18:DA18,"בית")</f>
        <v/>
      </c>
      <c r="DD18" s="9">
        <f>SUMPRODUCT($D$36:$DA$36,--(D18:DA18="בית"))</f>
        <v/>
      </c>
      <c r="DE18" s="9">
        <f>SUMPRODUCT($D$37:$DA$37,--(D18:DA18="בית"))</f>
        <v/>
      </c>
    </row>
    <row r="19">
      <c r="A19" s="5" t="inlineStr">
        <is>
          <t>רון בן שושן</t>
        </is>
      </c>
      <c r="B19" s="6" t="inlineStr">
        <is>
          <t>מחתים</t>
        </is>
      </c>
      <c r="C19" s="7" t="inlineStr">
        <is>
          <t>V</t>
        </is>
      </c>
      <c r="D19" s="8" t="inlineStr">
        <is>
          <t>ת״ש</t>
        </is>
      </c>
      <c r="E19" s="8" t="inlineStr">
        <is>
          <t>ת״ש</t>
        </is>
      </c>
      <c r="F19" s="8" t="inlineStr">
        <is>
          <t>ת״ש</t>
        </is>
      </c>
      <c r="G19" s="8" t="inlineStr">
        <is>
          <t>ת״ש</t>
        </is>
      </c>
      <c r="H19" s="8" t="inlineStr">
        <is>
          <t>ת״ש</t>
        </is>
      </c>
      <c r="I19" s="7" t="n"/>
      <c r="J19" s="7" t="n"/>
      <c r="K19" s="7" t="n"/>
      <c r="L19" s="7" t="n"/>
      <c r="M19" s="7" t="n"/>
      <c r="N19" s="7" t="n"/>
      <c r="O19" s="8" t="inlineStr">
        <is>
          <t>בסיס</t>
        </is>
      </c>
      <c r="P19" s="7" t="n"/>
      <c r="Q19" s="7" t="n"/>
      <c r="R19" s="8" t="inlineStr">
        <is>
          <t>בסיס</t>
        </is>
      </c>
      <c r="S19" s="8" t="inlineStr">
        <is>
          <t>בסיס</t>
        </is>
      </c>
      <c r="T19" s="8" t="inlineStr">
        <is>
          <t>בסיס</t>
        </is>
      </c>
      <c r="U19" s="8" t="inlineStr">
        <is>
          <t>בסיס</t>
        </is>
      </c>
      <c r="V19" s="8" t="inlineStr">
        <is>
          <t>בסיס</t>
        </is>
      </c>
      <c r="W19" s="8" t="inlineStr">
        <is>
          <t>בסיס</t>
        </is>
      </c>
      <c r="X19" s="8" t="inlineStr">
        <is>
          <t>בסיס</t>
        </is>
      </c>
      <c r="Y19" s="8" t="inlineStr">
        <is>
          <t>בסיס</t>
        </is>
      </c>
      <c r="Z19" s="8" t="inlineStr">
        <is>
          <t>בסיס</t>
        </is>
      </c>
      <c r="AA19" s="7" t="inlineStr">
        <is>
          <t>חופשה</t>
        </is>
      </c>
      <c r="AB19" s="7" t="inlineStr">
        <is>
          <t>חופשה</t>
        </is>
      </c>
      <c r="AC19" s="7" t="inlineStr">
        <is>
          <t>חופשה</t>
        </is>
      </c>
      <c r="AD19" s="7" t="inlineStr">
        <is>
          <t>חופשה</t>
        </is>
      </c>
      <c r="AE19" s="7" t="inlineStr">
        <is>
          <t>חופשה</t>
        </is>
      </c>
      <c r="AF19" s="7" t="inlineStr">
        <is>
          <t>חופשה</t>
        </is>
      </c>
      <c r="AG19" s="8" t="inlineStr">
        <is>
          <t>בסיס</t>
        </is>
      </c>
      <c r="AH19" s="8" t="inlineStr">
        <is>
          <t>בסיס</t>
        </is>
      </c>
      <c r="AI19" s="8" t="inlineStr">
        <is>
          <t>בסיס</t>
        </is>
      </c>
      <c r="AJ19" s="8" t="inlineStr">
        <is>
          <t>בסיס</t>
        </is>
      </c>
      <c r="AK19" s="8" t="inlineStr">
        <is>
          <t>בסיס</t>
        </is>
      </c>
      <c r="AL19" s="8" t="inlineStr">
        <is>
          <t>בסיס</t>
        </is>
      </c>
      <c r="AM19" s="8" t="inlineStr">
        <is>
          <t>בסיס</t>
        </is>
      </c>
      <c r="AN19" s="8" t="inlineStr">
        <is>
          <t>בסיס</t>
        </is>
      </c>
      <c r="AO19" s="8" t="inlineStr">
        <is>
          <t>בסיס</t>
        </is>
      </c>
      <c r="AP19" s="7" t="inlineStr">
        <is>
          <t>חופשה</t>
        </is>
      </c>
      <c r="AQ19" s="7" t="inlineStr">
        <is>
          <t>חופשה</t>
        </is>
      </c>
      <c r="AR19" s="7" t="inlineStr">
        <is>
          <t>חופשה</t>
        </is>
      </c>
      <c r="AS19" s="7" t="inlineStr">
        <is>
          <t>חופשה</t>
        </is>
      </c>
      <c r="AT19" s="7" t="inlineStr">
        <is>
          <t>חופשה</t>
        </is>
      </c>
      <c r="AU19" s="7" t="inlineStr">
        <is>
          <t>חופשה</t>
        </is>
      </c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9">
        <f>COUNTIF(D19:DA19,"בסיס")</f>
        <v/>
      </c>
      <c r="DC19" s="9">
        <f>COUNTIF(D19:DA19,"בית")</f>
        <v/>
      </c>
      <c r="DD19" s="9">
        <f>SUMPRODUCT($D$36:$DA$36,--(D19:DA19="בית"))</f>
        <v/>
      </c>
      <c r="DE19" s="9">
        <f>SUMPRODUCT($D$37:$DA$37,--(D19:DA19="בית"))</f>
        <v/>
      </c>
    </row>
    <row r="20">
      <c r="A20" s="5" t="inlineStr">
        <is>
          <t>דוד שמחי</t>
        </is>
      </c>
      <c r="B20" s="6" t="inlineStr">
        <is>
          <t>לוגיסטיקה</t>
        </is>
      </c>
      <c r="C20" s="7" t="inlineStr">
        <is>
          <t>V</t>
        </is>
      </c>
      <c r="D20" s="8" t="inlineStr">
        <is>
          <t>ת״ש</t>
        </is>
      </c>
      <c r="E20" s="8" t="inlineStr">
        <is>
          <t>ת״ש</t>
        </is>
      </c>
      <c r="F20" s="8" t="inlineStr">
        <is>
          <t>ת״ש</t>
        </is>
      </c>
      <c r="G20" s="8" t="inlineStr">
        <is>
          <t>ת״ש</t>
        </is>
      </c>
      <c r="H20" s="8" t="inlineStr">
        <is>
          <t>ת״ש</t>
        </is>
      </c>
      <c r="I20" s="8" t="n"/>
      <c r="J20" s="8" t="n"/>
      <c r="K20" s="8" t="n"/>
      <c r="L20" s="8" t="n"/>
      <c r="M20" s="8" t="n"/>
      <c r="N20" s="8" t="n"/>
      <c r="O20" s="8" t="inlineStr">
        <is>
          <t>בסיס</t>
        </is>
      </c>
      <c r="P20" s="8" t="n"/>
      <c r="Q20" s="8" t="n"/>
      <c r="R20" s="8" t="inlineStr">
        <is>
          <t>בסיס</t>
        </is>
      </c>
      <c r="S20" s="8" t="inlineStr">
        <is>
          <t>בסיס</t>
        </is>
      </c>
      <c r="T20" s="8" t="inlineStr">
        <is>
          <t>בסיס</t>
        </is>
      </c>
      <c r="U20" s="8" t="inlineStr">
        <is>
          <t>בסיס</t>
        </is>
      </c>
      <c r="V20" s="7" t="inlineStr">
        <is>
          <t>חופשה</t>
        </is>
      </c>
      <c r="W20" s="7" t="inlineStr">
        <is>
          <t>חופשה</t>
        </is>
      </c>
      <c r="X20" s="7" t="inlineStr">
        <is>
          <t>חופשה</t>
        </is>
      </c>
      <c r="Y20" s="8" t="inlineStr">
        <is>
          <t>בסיס</t>
        </is>
      </c>
      <c r="Z20" s="8" t="inlineStr">
        <is>
          <t>בסיס</t>
        </is>
      </c>
      <c r="AA20" s="8" t="inlineStr">
        <is>
          <t>בסיס</t>
        </is>
      </c>
      <c r="AB20" s="8" t="inlineStr">
        <is>
          <t>בסיס</t>
        </is>
      </c>
      <c r="AC20" s="8" t="inlineStr">
        <is>
          <t>בסיס</t>
        </is>
      </c>
      <c r="AD20" s="8" t="inlineStr">
        <is>
          <t>בסיס</t>
        </is>
      </c>
      <c r="AE20" s="8" t="inlineStr">
        <is>
          <t>בסיס</t>
        </is>
      </c>
      <c r="AF20" s="8" t="inlineStr">
        <is>
          <t>בסיס</t>
        </is>
      </c>
      <c r="AG20" s="7" t="inlineStr">
        <is>
          <t>חופשה</t>
        </is>
      </c>
      <c r="AH20" s="7" t="inlineStr">
        <is>
          <t>חופשה</t>
        </is>
      </c>
      <c r="AI20" s="7" t="inlineStr">
        <is>
          <t>חופשה</t>
        </is>
      </c>
      <c r="AJ20" s="7" t="inlineStr">
        <is>
          <t>חופשה</t>
        </is>
      </c>
      <c r="AK20" s="7" t="inlineStr">
        <is>
          <t>חופשה</t>
        </is>
      </c>
      <c r="AL20" s="7" t="inlineStr">
        <is>
          <t>חופשה</t>
        </is>
      </c>
      <c r="AM20" s="8" t="inlineStr">
        <is>
          <t>בסיס</t>
        </is>
      </c>
      <c r="AN20" s="8" t="inlineStr">
        <is>
          <t>בסיס</t>
        </is>
      </c>
      <c r="AO20" s="8" t="inlineStr">
        <is>
          <t>בסיס</t>
        </is>
      </c>
      <c r="AP20" s="8" t="inlineStr">
        <is>
          <t>בסיס</t>
        </is>
      </c>
      <c r="AQ20" s="8" t="inlineStr">
        <is>
          <t>בסיס</t>
        </is>
      </c>
      <c r="AR20" s="8" t="inlineStr">
        <is>
          <t>בסיס</t>
        </is>
      </c>
      <c r="AS20" s="8" t="inlineStr">
        <is>
          <t>בסיס</t>
        </is>
      </c>
      <c r="AT20" s="8" t="inlineStr">
        <is>
          <t>בסיס</t>
        </is>
      </c>
      <c r="AU20" s="7" t="inlineStr">
        <is>
          <t>חופשה</t>
        </is>
      </c>
      <c r="AV20" s="7" t="inlineStr">
        <is>
          <t>חופשה</t>
        </is>
      </c>
      <c r="AW20" s="7" t="inlineStr">
        <is>
          <t>חופשה</t>
        </is>
      </c>
      <c r="AX20" s="7" t="inlineStr">
        <is>
          <t>חופשה</t>
        </is>
      </c>
      <c r="AY20" s="7" t="inlineStr">
        <is>
          <t>חופשה</t>
        </is>
      </c>
      <c r="AZ20" s="7" t="inlineStr">
        <is>
          <t>חופשה</t>
        </is>
      </c>
      <c r="BA20" s="7" t="inlineStr">
        <is>
          <t>חופשה</t>
        </is>
      </c>
      <c r="BB20" s="7" t="inlineStr">
        <is>
          <t>חופשה</t>
        </is>
      </c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9">
        <f>COUNTIF(D20:DA20,"בסיס")</f>
        <v/>
      </c>
      <c r="DC20" s="9">
        <f>COUNTIF(D20:DA20,"בית")</f>
        <v/>
      </c>
      <c r="DD20" s="9">
        <f>SUMPRODUCT($D$36:$DA$36,--(D20:DA20="בית"))</f>
        <v/>
      </c>
      <c r="DE20" s="9">
        <f>SUMPRODUCT($D$37:$DA$37,--(D20:DA20="בית"))</f>
        <v/>
      </c>
    </row>
    <row r="21">
      <c r="A21" s="5" t="inlineStr">
        <is>
          <t>לב גינזבורג</t>
        </is>
      </c>
      <c r="B21" s="6" t="inlineStr">
        <is>
          <t>לוגיסטיקה-בילו</t>
        </is>
      </c>
      <c r="C21" s="7" t="inlineStr">
        <is>
          <t>V</t>
        </is>
      </c>
      <c r="D21" s="8" t="inlineStr">
        <is>
          <t>ת״ש</t>
        </is>
      </c>
      <c r="E21" s="8" t="inlineStr">
        <is>
          <t>ת״ש</t>
        </is>
      </c>
      <c r="F21" s="8" t="inlineStr">
        <is>
          <t>ת״ש</t>
        </is>
      </c>
      <c r="G21" s="8" t="inlineStr">
        <is>
          <t>ת״ש</t>
        </is>
      </c>
      <c r="H21" s="8" t="inlineStr">
        <is>
          <t>ת״ש</t>
        </is>
      </c>
      <c r="I21" s="7" t="n"/>
      <c r="J21" s="7" t="n"/>
      <c r="K21" s="7" t="n"/>
      <c r="L21" s="7" t="n"/>
      <c r="M21" s="7" t="n"/>
      <c r="N21" s="7" t="n"/>
      <c r="O21" s="8" t="inlineStr">
        <is>
          <t>בסיס</t>
        </is>
      </c>
      <c r="P21" s="7" t="n"/>
      <c r="Q21" s="7" t="n"/>
      <c r="R21" s="7" t="inlineStr">
        <is>
          <t>קורס</t>
        </is>
      </c>
      <c r="S21" s="7" t="inlineStr">
        <is>
          <t>קורס</t>
        </is>
      </c>
      <c r="T21" s="7" t="inlineStr">
        <is>
          <t>קורס</t>
        </is>
      </c>
      <c r="U21" s="7" t="inlineStr">
        <is>
          <t>קורס</t>
        </is>
      </c>
      <c r="V21" s="7" t="inlineStr">
        <is>
          <t>קורס</t>
        </is>
      </c>
      <c r="W21" s="7" t="inlineStr">
        <is>
          <t>קורס</t>
        </is>
      </c>
      <c r="X21" s="7" t="inlineStr">
        <is>
          <t>קורס</t>
        </is>
      </c>
      <c r="Y21" s="7" t="inlineStr">
        <is>
          <t>קורס</t>
        </is>
      </c>
      <c r="Z21" s="7" t="inlineStr">
        <is>
          <t>קורס</t>
        </is>
      </c>
      <c r="AA21" s="7" t="inlineStr">
        <is>
          <t>קורס</t>
        </is>
      </c>
      <c r="AB21" s="7" t="inlineStr">
        <is>
          <t>קורס</t>
        </is>
      </c>
      <c r="AC21" s="7" t="inlineStr">
        <is>
          <t>קורס</t>
        </is>
      </c>
      <c r="AD21" s="7" t="inlineStr">
        <is>
          <t>קורס</t>
        </is>
      </c>
      <c r="AE21" s="7" t="inlineStr">
        <is>
          <t>קורס</t>
        </is>
      </c>
      <c r="AF21" s="7" t="inlineStr">
        <is>
          <t>קורס</t>
        </is>
      </c>
      <c r="AG21" s="7" t="inlineStr">
        <is>
          <t>קורס</t>
        </is>
      </c>
      <c r="AH21" s="7" t="inlineStr">
        <is>
          <t>קורס</t>
        </is>
      </c>
      <c r="AI21" s="7" t="inlineStr">
        <is>
          <t>קורס</t>
        </is>
      </c>
      <c r="AJ21" s="7" t="inlineStr">
        <is>
          <t>קורס</t>
        </is>
      </c>
      <c r="AK21" s="7" t="inlineStr">
        <is>
          <t>קורס</t>
        </is>
      </c>
      <c r="AL21" s="7" t="inlineStr">
        <is>
          <t>קורס</t>
        </is>
      </c>
      <c r="AM21" s="7" t="inlineStr">
        <is>
          <t>קורס</t>
        </is>
      </c>
      <c r="AN21" s="7" t="inlineStr">
        <is>
          <t>קורס</t>
        </is>
      </c>
      <c r="AO21" s="7" t="inlineStr">
        <is>
          <t>קורס</t>
        </is>
      </c>
      <c r="AP21" s="7" t="inlineStr">
        <is>
          <t>קורס</t>
        </is>
      </c>
      <c r="AQ21" s="7" t="inlineStr">
        <is>
          <t>קורס</t>
        </is>
      </c>
      <c r="AR21" s="7" t="inlineStr">
        <is>
          <t>קורס</t>
        </is>
      </c>
      <c r="AS21" s="7" t="inlineStr">
        <is>
          <t>קורס</t>
        </is>
      </c>
      <c r="AT21" s="7" t="inlineStr">
        <is>
          <t>קורס</t>
        </is>
      </c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9">
        <f>COUNTIF(D21:DA21,"בסיס")</f>
        <v/>
      </c>
      <c r="DC21" s="9">
        <f>COUNTIF(D21:DA21,"בית")</f>
        <v/>
      </c>
      <c r="DD21" s="9">
        <f>SUMPRODUCT($D$36:$DA$36,--(D21:DA21="בית"))</f>
        <v/>
      </c>
      <c r="DE21" s="9">
        <f>SUMPRODUCT($D$37:$DA$37,--(D21:DA21="בית"))</f>
        <v/>
      </c>
    </row>
    <row r="22">
      <c r="A22" s="5" t="inlineStr">
        <is>
          <t>יעקב גרמאי</t>
        </is>
      </c>
      <c r="B22" s="6" t="inlineStr">
        <is>
          <t>לוגיסטיקה</t>
        </is>
      </c>
      <c r="C22" s="7" t="n"/>
      <c r="D22" s="8" t="inlineStr">
        <is>
          <t>?</t>
        </is>
      </c>
      <c r="E22" s="8" t="inlineStr">
        <is>
          <t>?</t>
        </is>
      </c>
      <c r="F22" s="8" t="inlineStr">
        <is>
          <t>?</t>
        </is>
      </c>
      <c r="G22" s="8" t="inlineStr">
        <is>
          <t>?</t>
        </is>
      </c>
      <c r="H22" s="8" t="inlineStr">
        <is>
          <t>?</t>
        </is>
      </c>
      <c r="I22" s="7" t="n"/>
      <c r="J22" s="7" t="n"/>
      <c r="K22" s="7" t="n"/>
      <c r="L22" s="7" t="n"/>
      <c r="M22" s="7" t="n"/>
      <c r="N22" s="7" t="n"/>
      <c r="O22" s="8" t="inlineStr">
        <is>
          <t>בסיס</t>
        </is>
      </c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9">
        <f>COUNTIF(D22:DA22,"בסיס")</f>
        <v/>
      </c>
      <c r="DC22" s="9">
        <f>COUNTIF(D22:DA22,"בית")</f>
        <v/>
      </c>
      <c r="DD22" s="9">
        <f>SUMPRODUCT($D$36:$DA$36,--(D22:DA22="בית"))</f>
        <v/>
      </c>
      <c r="DE22" s="9">
        <f>SUMPRODUCT($D$37:$DA$37,--(D22:DA22="בית"))</f>
        <v/>
      </c>
    </row>
    <row r="23">
      <c r="A23" s="5" t="inlineStr">
        <is>
          <t>עידן אשטון</t>
        </is>
      </c>
      <c r="B23" s="6" t="inlineStr">
        <is>
          <t>לוגיסטיקה</t>
        </is>
      </c>
      <c r="C23" s="7" t="inlineStr">
        <is>
          <t>V</t>
        </is>
      </c>
      <c r="D23" s="27" t="inlineStr">
        <is>
          <t>X</t>
        </is>
      </c>
      <c r="E23" s="27" t="inlineStr">
        <is>
          <t>X</t>
        </is>
      </c>
      <c r="F23" s="27" t="inlineStr">
        <is>
          <t>X</t>
        </is>
      </c>
      <c r="G23" s="27" t="inlineStr">
        <is>
          <t>X</t>
        </is>
      </c>
      <c r="H23" s="27" t="inlineStr">
        <is>
          <t>X</t>
        </is>
      </c>
      <c r="I23" s="27" t="inlineStr">
        <is>
          <t>X</t>
        </is>
      </c>
      <c r="J23" s="27" t="inlineStr">
        <is>
          <t>X</t>
        </is>
      </c>
      <c r="K23" s="27" t="inlineStr">
        <is>
          <t>X</t>
        </is>
      </c>
      <c r="L23" s="27" t="inlineStr">
        <is>
          <t>X</t>
        </is>
      </c>
      <c r="M23" s="27" t="inlineStr">
        <is>
          <t>X</t>
        </is>
      </c>
      <c r="N23" s="7" t="n"/>
      <c r="O23" s="8" t="inlineStr">
        <is>
          <t>בסיס</t>
        </is>
      </c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9">
        <f>COUNTIF(D23:DA23,"בסיס")</f>
        <v/>
      </c>
      <c r="DC23" s="9">
        <f>COUNTIF(D23:DA23,"בית")</f>
        <v/>
      </c>
      <c r="DD23" s="9">
        <f>SUMPRODUCT($D$36:$DA$36,--(D23:DA23="בית"))</f>
        <v/>
      </c>
      <c r="DE23" s="9">
        <f>SUMPRODUCT($D$37:$DA$37,--(D23:DA23="בית"))</f>
        <v/>
      </c>
    </row>
    <row r="24">
      <c r="A24" s="5" t="inlineStr">
        <is>
          <t>דוד עבאדה</t>
        </is>
      </c>
      <c r="B24" s="6" t="inlineStr">
        <is>
          <t>לוגיסטיקה</t>
        </is>
      </c>
      <c r="C24" s="7" t="n"/>
      <c r="D24" s="27" t="inlineStr">
        <is>
          <t>X</t>
        </is>
      </c>
      <c r="E24" s="27" t="inlineStr">
        <is>
          <t>X</t>
        </is>
      </c>
      <c r="F24" s="27" t="inlineStr">
        <is>
          <t>X</t>
        </is>
      </c>
      <c r="G24" s="27" t="inlineStr">
        <is>
          <t>X</t>
        </is>
      </c>
      <c r="H24" s="27" t="inlineStr">
        <is>
          <t>X</t>
        </is>
      </c>
      <c r="I24" s="7" t="n"/>
      <c r="J24" s="7" t="n"/>
      <c r="K24" s="7" t="n"/>
      <c r="L24" s="7" t="n"/>
      <c r="M24" s="7" t="n"/>
      <c r="N24" s="7" t="n"/>
      <c r="O24" s="8" t="inlineStr">
        <is>
          <t>בסיס</t>
        </is>
      </c>
      <c r="P24" s="7" t="n"/>
      <c r="Q24" s="7" t="n"/>
      <c r="R24" s="8" t="inlineStr">
        <is>
          <t>בסיס</t>
        </is>
      </c>
      <c r="S24" s="8" t="inlineStr">
        <is>
          <t>בסיס</t>
        </is>
      </c>
      <c r="T24" s="8" t="inlineStr">
        <is>
          <t>בסיס</t>
        </is>
      </c>
      <c r="U24" s="8" t="inlineStr">
        <is>
          <t>בסיס</t>
        </is>
      </c>
      <c r="V24" s="8" t="inlineStr">
        <is>
          <t>בסיס</t>
        </is>
      </c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9">
        <f>COUNTIF(D24:DA24,"בסיס")</f>
        <v/>
      </c>
      <c r="DC24" s="9">
        <f>COUNTIF(D24:DA24,"בית")</f>
        <v/>
      </c>
      <c r="DD24" s="9">
        <f>SUMPRODUCT($D$36:$DA$36,--(D24:DA24="בית"))</f>
        <v/>
      </c>
      <c r="DE24" s="9">
        <f>SUMPRODUCT($D$37:$DA$37,--(D24:DA24="בית"))</f>
        <v/>
      </c>
    </row>
    <row r="25">
      <c r="A25" s="5" t="inlineStr">
        <is>
          <t>אוראל קקון</t>
        </is>
      </c>
      <c r="B25" s="6" t="inlineStr">
        <is>
          <t>לוגיסטיקה</t>
        </is>
      </c>
      <c r="C25" s="7" t="inlineStr">
        <is>
          <t>V</t>
        </is>
      </c>
      <c r="D25" s="8" t="inlineStr">
        <is>
          <t>בסיס</t>
        </is>
      </c>
      <c r="E25" s="8" t="inlineStr">
        <is>
          <t>בסיס</t>
        </is>
      </c>
      <c r="F25" s="8" t="inlineStr">
        <is>
          <t>בסיס</t>
        </is>
      </c>
      <c r="G25" s="8" t="inlineStr">
        <is>
          <t>בסיס</t>
        </is>
      </c>
      <c r="H25" s="8" t="n"/>
      <c r="I25" s="8" t="n"/>
      <c r="J25" s="8" t="n"/>
      <c r="K25" s="8" t="n"/>
      <c r="L25" s="8" t="n"/>
      <c r="M25" s="8" t="n"/>
      <c r="N25" s="8" t="n"/>
      <c r="O25" s="8" t="inlineStr">
        <is>
          <t>בסיס</t>
        </is>
      </c>
      <c r="P25" s="8" t="n"/>
      <c r="Q25" s="8" t="n"/>
      <c r="R25" s="8" t="inlineStr">
        <is>
          <t>בסיס</t>
        </is>
      </c>
      <c r="S25" s="8" t="inlineStr">
        <is>
          <t>בסיס</t>
        </is>
      </c>
      <c r="T25" s="8" t="inlineStr">
        <is>
          <t>בסיס</t>
        </is>
      </c>
      <c r="U25" s="8" t="inlineStr">
        <is>
          <t>בסיס</t>
        </is>
      </c>
      <c r="V25" s="8" t="inlineStr">
        <is>
          <t>בסיס</t>
        </is>
      </c>
      <c r="W25" s="7" t="inlineStr">
        <is>
          <t>חופשה</t>
        </is>
      </c>
      <c r="X25" s="7" t="inlineStr">
        <is>
          <t>חופשה</t>
        </is>
      </c>
      <c r="Y25" s="7" t="inlineStr">
        <is>
          <t>חופשה</t>
        </is>
      </c>
      <c r="Z25" s="7" t="inlineStr">
        <is>
          <t>חופשה</t>
        </is>
      </c>
      <c r="AA25" s="7" t="inlineStr">
        <is>
          <t>חופשה</t>
        </is>
      </c>
      <c r="AB25" s="7" t="inlineStr">
        <is>
          <t>חופשה</t>
        </is>
      </c>
      <c r="AC25" s="8" t="inlineStr">
        <is>
          <t>בסיס</t>
        </is>
      </c>
      <c r="AD25" s="8" t="inlineStr">
        <is>
          <t>בסיס</t>
        </is>
      </c>
      <c r="AE25" s="8" t="inlineStr">
        <is>
          <t>בסיס</t>
        </is>
      </c>
      <c r="AF25" s="8" t="inlineStr">
        <is>
          <t>בסיס</t>
        </is>
      </c>
      <c r="AG25" s="8" t="inlineStr">
        <is>
          <t>בסיס</t>
        </is>
      </c>
      <c r="AH25" s="8" t="inlineStr">
        <is>
          <t>בסיס</t>
        </is>
      </c>
      <c r="AI25" s="8" t="inlineStr">
        <is>
          <t>בסיס</t>
        </is>
      </c>
      <c r="AJ25" s="8" t="inlineStr">
        <is>
          <t>בסיס</t>
        </is>
      </c>
      <c r="AK25" s="7" t="inlineStr">
        <is>
          <t>חופשה</t>
        </is>
      </c>
      <c r="AL25" s="7" t="inlineStr">
        <is>
          <t>חופשה</t>
        </is>
      </c>
      <c r="AM25" s="7" t="inlineStr">
        <is>
          <t>חופשה</t>
        </is>
      </c>
      <c r="AN25" s="7" t="inlineStr">
        <is>
          <t>חופשה</t>
        </is>
      </c>
      <c r="AO25" s="7" t="inlineStr">
        <is>
          <t>חופשה</t>
        </is>
      </c>
      <c r="AP25" s="7" t="inlineStr">
        <is>
          <t>חופשה</t>
        </is>
      </c>
      <c r="AQ25" s="8" t="inlineStr">
        <is>
          <t>בסיס</t>
        </is>
      </c>
      <c r="AR25" s="8" t="inlineStr">
        <is>
          <t>בסיס</t>
        </is>
      </c>
      <c r="AS25" s="8" t="inlineStr">
        <is>
          <t>בסיס</t>
        </is>
      </c>
      <c r="AT25" s="8" t="inlineStr">
        <is>
          <t>בסיס</t>
        </is>
      </c>
      <c r="AU25" s="8" t="inlineStr">
        <is>
          <t>בסיס</t>
        </is>
      </c>
      <c r="AV25" s="8" t="inlineStr">
        <is>
          <t>בסיס</t>
        </is>
      </c>
      <c r="AW25" s="8" t="inlineStr">
        <is>
          <t>בסיס</t>
        </is>
      </c>
      <c r="AX25" s="8" t="inlineStr">
        <is>
          <t>בסיס</t>
        </is>
      </c>
      <c r="AY25" s="7" t="n"/>
      <c r="AZ25" s="7" t="n"/>
      <c r="BA25" s="7" t="inlineStr">
        <is>
          <t xml:space="preserve">חול </t>
        </is>
      </c>
      <c r="BB25" s="7" t="inlineStr">
        <is>
          <t>חול</t>
        </is>
      </c>
      <c r="BC25" s="7" t="inlineStr">
        <is>
          <t>חול</t>
        </is>
      </c>
      <c r="BD25" s="7" t="inlineStr">
        <is>
          <t>חול</t>
        </is>
      </c>
      <c r="BE25" s="7" t="inlineStr">
        <is>
          <t>חול</t>
        </is>
      </c>
      <c r="BF25" s="7" t="inlineStr">
        <is>
          <t>חול</t>
        </is>
      </c>
      <c r="BG25" s="7" t="inlineStr">
        <is>
          <t>חול</t>
        </is>
      </c>
      <c r="BH25" s="8" t="inlineStr">
        <is>
          <t>בסיס</t>
        </is>
      </c>
      <c r="BI25" s="8" t="inlineStr">
        <is>
          <t>בסיס</t>
        </is>
      </c>
      <c r="BJ25" s="8" t="inlineStr">
        <is>
          <t>בסיס</t>
        </is>
      </c>
      <c r="BK25" s="8" t="inlineStr">
        <is>
          <t>בסיס</t>
        </is>
      </c>
      <c r="BL25" s="8" t="inlineStr">
        <is>
          <t>בסיס</t>
        </is>
      </c>
      <c r="BM25" s="8" t="inlineStr">
        <is>
          <t>בסיס</t>
        </is>
      </c>
      <c r="BN25" s="8" t="inlineStr">
        <is>
          <t>בסיס</t>
        </is>
      </c>
      <c r="BO25" s="8" t="inlineStr">
        <is>
          <t>בסיס</t>
        </is>
      </c>
      <c r="BP25" s="7" t="inlineStr">
        <is>
          <t>חופשה</t>
        </is>
      </c>
      <c r="BQ25" s="7" t="inlineStr">
        <is>
          <t>חופשה</t>
        </is>
      </c>
      <c r="BR25" s="7" t="inlineStr">
        <is>
          <t>חופשה</t>
        </is>
      </c>
      <c r="BS25" s="7" t="inlineStr">
        <is>
          <t>חופשה</t>
        </is>
      </c>
      <c r="BT25" s="7" t="inlineStr">
        <is>
          <t>חופשה</t>
        </is>
      </c>
      <c r="BU25" s="7" t="inlineStr">
        <is>
          <t>חופשה</t>
        </is>
      </c>
      <c r="BV25" s="8" t="inlineStr">
        <is>
          <t>בסיס</t>
        </is>
      </c>
      <c r="BW25" s="8" t="inlineStr">
        <is>
          <t>בסיס</t>
        </is>
      </c>
      <c r="BX25" s="8" t="inlineStr">
        <is>
          <t>בסיס</t>
        </is>
      </c>
      <c r="BY25" s="8" t="inlineStr">
        <is>
          <t>בסיס</t>
        </is>
      </c>
      <c r="BZ25" s="8" t="inlineStr">
        <is>
          <t>בסיס</t>
        </is>
      </c>
      <c r="CA25" s="8" t="inlineStr">
        <is>
          <t>בסיס</t>
        </is>
      </c>
      <c r="CB25" s="8" t="inlineStr">
        <is>
          <t>בסיס</t>
        </is>
      </c>
      <c r="CC25" s="8" t="inlineStr">
        <is>
          <t>בסיס</t>
        </is>
      </c>
      <c r="CD25" s="7" t="inlineStr">
        <is>
          <t>חופשה</t>
        </is>
      </c>
      <c r="CE25" s="7" t="inlineStr">
        <is>
          <t>חופשה</t>
        </is>
      </c>
      <c r="CF25" s="7" t="inlineStr">
        <is>
          <t>חופשה</t>
        </is>
      </c>
      <c r="CG25" s="7" t="inlineStr">
        <is>
          <t>חופשה</t>
        </is>
      </c>
      <c r="CH25" s="7" t="inlineStr">
        <is>
          <t>חופשה</t>
        </is>
      </c>
      <c r="CI25" s="7" t="inlineStr">
        <is>
          <t>חופשה</t>
        </is>
      </c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9">
        <f>COUNTIF(D25:DA25,"בסיס")</f>
        <v/>
      </c>
      <c r="DC25" s="9">
        <f>COUNTIF(D25:DA25,"בית")</f>
        <v/>
      </c>
      <c r="DD25" s="9">
        <f>SUMPRODUCT($D$36:$DA$36,--(D25:DA25="בית"))</f>
        <v/>
      </c>
      <c r="DE25" s="9">
        <f>SUMPRODUCT($D$37:$DA$37,--(D25:DA25="בית"))</f>
        <v/>
      </c>
    </row>
    <row r="26">
      <c r="A26" s="5" t="inlineStr">
        <is>
          <t>אלחנן טירי</t>
        </is>
      </c>
      <c r="B26" s="6" t="inlineStr">
        <is>
          <t>לוגיסטיקה</t>
        </is>
      </c>
      <c r="C26" s="7" t="inlineStr">
        <is>
          <t>V</t>
        </is>
      </c>
      <c r="D26" s="7" t="inlineStr">
        <is>
          <t>מבחן</t>
        </is>
      </c>
      <c r="E26" s="7" t="inlineStr">
        <is>
          <t>מבחן</t>
        </is>
      </c>
      <c r="F26" s="8" t="inlineStr">
        <is>
          <t>ת״ש</t>
        </is>
      </c>
      <c r="G26" s="8" t="inlineStr">
        <is>
          <t>ת״ש</t>
        </is>
      </c>
      <c r="H26" s="8" t="inlineStr">
        <is>
          <t>ת״ש</t>
        </is>
      </c>
      <c r="I26" s="7" t="n"/>
      <c r="J26" s="7" t="n"/>
      <c r="K26" s="7" t="n"/>
      <c r="L26" s="7" t="n"/>
      <c r="M26" s="7" t="n"/>
      <c r="N26" s="7" t="inlineStr">
        <is>
          <t>מבחן</t>
        </is>
      </c>
      <c r="O26" s="8" t="inlineStr">
        <is>
          <t>בסיס</t>
        </is>
      </c>
      <c r="P26" s="7" t="n"/>
      <c r="Q26" s="7" t="n"/>
      <c r="R26" s="8" t="inlineStr">
        <is>
          <t>בסיס</t>
        </is>
      </c>
      <c r="S26" s="8" t="inlineStr">
        <is>
          <t>בסיס</t>
        </is>
      </c>
      <c r="T26" s="7" t="inlineStr">
        <is>
          <t>מבחן</t>
        </is>
      </c>
      <c r="U26" s="8" t="inlineStr">
        <is>
          <t>בסיס</t>
        </is>
      </c>
      <c r="V26" s="8" t="inlineStr">
        <is>
          <t>בסיס</t>
        </is>
      </c>
      <c r="W26" s="8" t="inlineStr">
        <is>
          <t>בסיס</t>
        </is>
      </c>
      <c r="X26" s="8" t="inlineStr">
        <is>
          <t>בסיס</t>
        </is>
      </c>
      <c r="Y26" s="8" t="inlineStr">
        <is>
          <t>בסיס</t>
        </is>
      </c>
      <c r="Z26" s="8" t="inlineStr">
        <is>
          <t>בסיס</t>
        </is>
      </c>
      <c r="AA26" s="8" t="inlineStr">
        <is>
          <t>בסיס</t>
        </is>
      </c>
      <c r="AB26" s="8" t="inlineStr">
        <is>
          <t>בסיס</t>
        </is>
      </c>
      <c r="AC26" s="7" t="inlineStr">
        <is>
          <t>חופשה</t>
        </is>
      </c>
      <c r="AD26" s="7" t="inlineStr">
        <is>
          <t>חופשה</t>
        </is>
      </c>
      <c r="AE26" s="7" t="inlineStr">
        <is>
          <t>חופשה</t>
        </is>
      </c>
      <c r="AF26" s="7" t="inlineStr">
        <is>
          <t>חופשה</t>
        </is>
      </c>
      <c r="AG26" s="7" t="inlineStr">
        <is>
          <t>חופשה</t>
        </is>
      </c>
      <c r="AH26" s="7" t="inlineStr">
        <is>
          <t>חופשה</t>
        </is>
      </c>
      <c r="AI26" s="8" t="inlineStr">
        <is>
          <t>בסיס</t>
        </is>
      </c>
      <c r="AJ26" s="8" t="inlineStr">
        <is>
          <t>בסיס</t>
        </is>
      </c>
      <c r="AK26" s="8" t="inlineStr">
        <is>
          <t>בסיס</t>
        </is>
      </c>
      <c r="AL26" s="8" t="inlineStr">
        <is>
          <t>בסיס</t>
        </is>
      </c>
      <c r="AM26" s="8" t="inlineStr">
        <is>
          <t>בסיס</t>
        </is>
      </c>
      <c r="AN26" s="8" t="inlineStr">
        <is>
          <t>בסיס</t>
        </is>
      </c>
      <c r="AO26" s="8" t="inlineStr">
        <is>
          <t>בסיס</t>
        </is>
      </c>
      <c r="AP26" s="8" t="inlineStr">
        <is>
          <t>בסיס</t>
        </is>
      </c>
      <c r="AQ26" s="7" t="inlineStr">
        <is>
          <t>חופשה</t>
        </is>
      </c>
      <c r="AR26" s="7" t="inlineStr">
        <is>
          <t>חופשה</t>
        </is>
      </c>
      <c r="AS26" s="7" t="inlineStr">
        <is>
          <t>חופשה</t>
        </is>
      </c>
      <c r="AT26" s="7" t="inlineStr">
        <is>
          <t>חופשה</t>
        </is>
      </c>
      <c r="AU26" s="7" t="inlineStr">
        <is>
          <t>חופשה</t>
        </is>
      </c>
      <c r="AV26" s="7" t="inlineStr">
        <is>
          <t>חופשה</t>
        </is>
      </c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9">
        <f>COUNTIF(D26:DA26,"בסיס")</f>
        <v/>
      </c>
      <c r="DC26" s="9">
        <f>COUNTIF(D26:DA26,"בית")</f>
        <v/>
      </c>
      <c r="DD26" s="9">
        <f>SUMPRODUCT($D$36:$DA$36,--(D26:DA26="בית"))</f>
        <v/>
      </c>
      <c r="DE26" s="9">
        <f>SUMPRODUCT($D$37:$DA$37,--(D26:DA26="בית"))</f>
        <v/>
      </c>
    </row>
    <row r="27">
      <c r="A27" s="5" t="inlineStr">
        <is>
          <t>ארמיאס בלאציאו</t>
        </is>
      </c>
      <c r="B27" s="6" t="inlineStr">
        <is>
          <t>לוגיסטיקה</t>
        </is>
      </c>
      <c r="C27" s="7" t="inlineStr">
        <is>
          <t>V</t>
        </is>
      </c>
      <c r="D27" s="8" t="inlineStr">
        <is>
          <t>ת״ש</t>
        </is>
      </c>
      <c r="E27" s="8" t="inlineStr">
        <is>
          <t>ת״ש</t>
        </is>
      </c>
      <c r="F27" s="8" t="inlineStr">
        <is>
          <t>ת״ש</t>
        </is>
      </c>
      <c r="G27" s="8" t="inlineStr">
        <is>
          <t>ת״ש</t>
        </is>
      </c>
      <c r="H27" s="8" t="inlineStr">
        <is>
          <t>ת״ש</t>
        </is>
      </c>
      <c r="I27" s="7" t="n"/>
      <c r="J27" s="7" t="n"/>
      <c r="K27" s="7" t="n"/>
      <c r="L27" s="7" t="n"/>
      <c r="M27" s="7" t="n"/>
      <c r="N27" s="7" t="n"/>
      <c r="O27" s="8" t="inlineStr">
        <is>
          <t>בסיס</t>
        </is>
      </c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9">
        <f>COUNTIF(D27:DA27,"בסיס")</f>
        <v/>
      </c>
      <c r="DC27" s="9">
        <f>COUNTIF(D27:DA27,"בית")</f>
        <v/>
      </c>
      <c r="DD27" s="9">
        <f>SUMPRODUCT($D$36:$DA$36,--(D27:DA27="בית"))</f>
        <v/>
      </c>
      <c r="DE27" s="9">
        <f>SUMPRODUCT($D$37:$DA$37,--(D27:DA27="בית"))</f>
        <v/>
      </c>
    </row>
    <row r="28">
      <c r="A28" s="5" t="inlineStr">
        <is>
          <t>משה אברהם</t>
        </is>
      </c>
      <c r="B28" s="6" t="inlineStr">
        <is>
          <t>לוגיסטיקה</t>
        </is>
      </c>
      <c r="C28" s="7" t="inlineStr">
        <is>
          <t>V</t>
        </is>
      </c>
      <c r="D28" s="27" t="inlineStr">
        <is>
          <t>X</t>
        </is>
      </c>
      <c r="E28" s="27" t="inlineStr">
        <is>
          <t>X</t>
        </is>
      </c>
      <c r="F28" s="27" t="inlineStr">
        <is>
          <t>X</t>
        </is>
      </c>
      <c r="G28" s="27" t="inlineStr">
        <is>
          <t>X</t>
        </is>
      </c>
      <c r="H28" s="27" t="inlineStr">
        <is>
          <t>X</t>
        </is>
      </c>
      <c r="I28" s="7" t="n"/>
      <c r="J28" s="7" t="n"/>
      <c r="K28" s="7" t="n"/>
      <c r="L28" s="7" t="n"/>
      <c r="M28" s="7" t="n"/>
      <c r="N28" s="7" t="n"/>
      <c r="O28" s="8" t="inlineStr">
        <is>
          <t>בסיס</t>
        </is>
      </c>
      <c r="P28" s="7" t="n"/>
      <c r="Q28" s="7" t="n"/>
      <c r="R28" s="8" t="inlineStr">
        <is>
          <t>בסיס</t>
        </is>
      </c>
      <c r="S28" s="8" t="inlineStr">
        <is>
          <t>בסיס</t>
        </is>
      </c>
      <c r="T28" s="8" t="inlineStr">
        <is>
          <t>בסיס</t>
        </is>
      </c>
      <c r="U28" s="8" t="inlineStr">
        <is>
          <t>בסיס</t>
        </is>
      </c>
      <c r="V28" s="8" t="inlineStr">
        <is>
          <t>בסיס</t>
        </is>
      </c>
      <c r="W28" s="7" t="inlineStr">
        <is>
          <t>חופשה</t>
        </is>
      </c>
      <c r="X28" s="7" t="inlineStr">
        <is>
          <t>חופשה</t>
        </is>
      </c>
      <c r="Y28" s="7" t="inlineStr">
        <is>
          <t>חופשה</t>
        </is>
      </c>
      <c r="Z28" s="7" t="inlineStr">
        <is>
          <t>חופשה</t>
        </is>
      </c>
      <c r="AA28" s="7" t="inlineStr">
        <is>
          <t>חופשה</t>
        </is>
      </c>
      <c r="AB28" s="7" t="inlineStr">
        <is>
          <t>חופשה</t>
        </is>
      </c>
      <c r="AC28" s="8" t="inlineStr">
        <is>
          <t>בסיס</t>
        </is>
      </c>
      <c r="AD28" s="8" t="inlineStr">
        <is>
          <t>בסיס</t>
        </is>
      </c>
      <c r="AE28" s="8" t="inlineStr">
        <is>
          <t>בסיס</t>
        </is>
      </c>
      <c r="AF28" s="8" t="inlineStr">
        <is>
          <t>בסיס</t>
        </is>
      </c>
      <c r="AG28" s="8" t="inlineStr">
        <is>
          <t>בסיס</t>
        </is>
      </c>
      <c r="AH28" s="8" t="inlineStr">
        <is>
          <t>בסיס</t>
        </is>
      </c>
      <c r="AI28" s="8" t="inlineStr">
        <is>
          <t>בסיס</t>
        </is>
      </c>
      <c r="AJ28" s="8" t="inlineStr">
        <is>
          <t>בסיס</t>
        </is>
      </c>
      <c r="AK28" s="7" t="inlineStr">
        <is>
          <t>חופשה</t>
        </is>
      </c>
      <c r="AL28" s="7" t="inlineStr">
        <is>
          <t>חופשה</t>
        </is>
      </c>
      <c r="AM28" s="7" t="inlineStr">
        <is>
          <t>חופשה</t>
        </is>
      </c>
      <c r="AN28" s="7" t="inlineStr">
        <is>
          <t>חופשה</t>
        </is>
      </c>
      <c r="AO28" s="7" t="inlineStr">
        <is>
          <t>חופשה</t>
        </is>
      </c>
      <c r="AP28" s="7" t="inlineStr">
        <is>
          <t>חופשה</t>
        </is>
      </c>
      <c r="AQ28" s="8" t="inlineStr">
        <is>
          <t>בסיס</t>
        </is>
      </c>
      <c r="AR28" s="8" t="inlineStr">
        <is>
          <t>בסיס</t>
        </is>
      </c>
      <c r="AS28" s="8" t="inlineStr">
        <is>
          <t>בסיס</t>
        </is>
      </c>
      <c r="AT28" s="8" t="inlineStr">
        <is>
          <t>בסיס</t>
        </is>
      </c>
      <c r="AU28" s="8" t="inlineStr">
        <is>
          <t>בסיס</t>
        </is>
      </c>
      <c r="AV28" s="8" t="inlineStr">
        <is>
          <t>בסיס</t>
        </is>
      </c>
      <c r="AW28" s="8" t="inlineStr">
        <is>
          <t>בסיס</t>
        </is>
      </c>
      <c r="AX28" s="8" t="inlineStr">
        <is>
          <t>בסיס</t>
        </is>
      </c>
      <c r="AY28" s="7" t="inlineStr">
        <is>
          <t>חופשה</t>
        </is>
      </c>
      <c r="AZ28" s="7" t="inlineStr">
        <is>
          <t>חופשה</t>
        </is>
      </c>
      <c r="BA28" s="7" t="inlineStr">
        <is>
          <t>חופשה</t>
        </is>
      </c>
      <c r="BB28" s="7" t="inlineStr">
        <is>
          <t>חופשה</t>
        </is>
      </c>
      <c r="BC28" s="7" t="inlineStr">
        <is>
          <t>חופשה</t>
        </is>
      </c>
      <c r="BD28" s="7" t="inlineStr">
        <is>
          <t>חופשה</t>
        </is>
      </c>
      <c r="BE28" s="8" t="inlineStr">
        <is>
          <t>בסיס</t>
        </is>
      </c>
      <c r="BF28" s="8" t="inlineStr">
        <is>
          <t>בסיס</t>
        </is>
      </c>
      <c r="BG28" s="8" t="inlineStr">
        <is>
          <t>בסיס</t>
        </is>
      </c>
      <c r="BH28" s="8" t="inlineStr">
        <is>
          <t>בסיס</t>
        </is>
      </c>
      <c r="BI28" s="8" t="inlineStr">
        <is>
          <t>בסיס</t>
        </is>
      </c>
      <c r="BJ28" s="8" t="inlineStr">
        <is>
          <t>בסיס</t>
        </is>
      </c>
      <c r="BK28" s="8" t="inlineStr">
        <is>
          <t>בסיס</t>
        </is>
      </c>
      <c r="BL28" s="8" t="inlineStr">
        <is>
          <t>בסיס</t>
        </is>
      </c>
      <c r="BM28" s="7" t="inlineStr">
        <is>
          <t>חופשה</t>
        </is>
      </c>
      <c r="BN28" s="7" t="inlineStr">
        <is>
          <t>חופשה</t>
        </is>
      </c>
      <c r="BO28" s="7" t="inlineStr">
        <is>
          <t>חופשה</t>
        </is>
      </c>
      <c r="BP28" s="7" t="inlineStr">
        <is>
          <t>חופשה</t>
        </is>
      </c>
      <c r="BQ28" s="7" t="inlineStr">
        <is>
          <t>חופשה</t>
        </is>
      </c>
      <c r="BR28" s="7" t="inlineStr">
        <is>
          <t>חופשה</t>
        </is>
      </c>
      <c r="BS28" s="8" t="inlineStr">
        <is>
          <t>בסיס</t>
        </is>
      </c>
      <c r="BT28" s="8" t="inlineStr">
        <is>
          <t>בסיס</t>
        </is>
      </c>
      <c r="BU28" s="8" t="inlineStr">
        <is>
          <t>בסיס</t>
        </is>
      </c>
      <c r="BV28" s="8" t="inlineStr">
        <is>
          <t>בסיס</t>
        </is>
      </c>
      <c r="BW28" s="8" t="inlineStr">
        <is>
          <t>בסיס</t>
        </is>
      </c>
      <c r="BX28" s="8" t="inlineStr">
        <is>
          <t>בסיס</t>
        </is>
      </c>
      <c r="BY28" s="8" t="inlineStr">
        <is>
          <t>בסיס</t>
        </is>
      </c>
      <c r="BZ28" s="8" t="inlineStr">
        <is>
          <t>בסיס</t>
        </is>
      </c>
      <c r="CA28" s="7" t="inlineStr">
        <is>
          <t>חופשה</t>
        </is>
      </c>
      <c r="CB28" s="7" t="inlineStr">
        <is>
          <t>חופשה</t>
        </is>
      </c>
      <c r="CC28" s="7" t="inlineStr">
        <is>
          <t>חופשה</t>
        </is>
      </c>
      <c r="CD28" s="7" t="inlineStr">
        <is>
          <t>חופשה</t>
        </is>
      </c>
      <c r="CE28" s="7" t="inlineStr">
        <is>
          <t>חופשה</t>
        </is>
      </c>
      <c r="CF28" s="7" t="inlineStr">
        <is>
          <t>חופשה</t>
        </is>
      </c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9">
        <f>COUNTIF(D28:DA28,"בסיס")</f>
        <v/>
      </c>
      <c r="DC28" s="9">
        <f>COUNTIF(D28:DA28,"בית")</f>
        <v/>
      </c>
      <c r="DD28" s="9">
        <f>SUMPRODUCT($D$36:$DA$36,--(D28:DA28="בית"))</f>
        <v/>
      </c>
      <c r="DE28" s="9">
        <f>SUMPRODUCT($D$37:$DA$37,--(D28:DA28="בית"))</f>
        <v/>
      </c>
    </row>
    <row r="29">
      <c r="A29" s="5" t="inlineStr">
        <is>
          <t>רון אוסטפוב</t>
        </is>
      </c>
      <c r="B29" s="6" t="inlineStr">
        <is>
          <t>לוגיסטיקה</t>
        </is>
      </c>
      <c r="C29" s="7" t="inlineStr">
        <is>
          <t>V</t>
        </is>
      </c>
      <c r="D29" s="27" t="inlineStr">
        <is>
          <t>X</t>
        </is>
      </c>
      <c r="E29" s="27" t="inlineStr">
        <is>
          <t>X</t>
        </is>
      </c>
      <c r="F29" s="27" t="inlineStr">
        <is>
          <t>X</t>
        </is>
      </c>
      <c r="G29" s="27" t="inlineStr">
        <is>
          <t>X</t>
        </is>
      </c>
      <c r="H29" s="27" t="inlineStr">
        <is>
          <t>X</t>
        </is>
      </c>
      <c r="I29" s="7" t="n"/>
      <c r="J29" s="7" t="n"/>
      <c r="K29" s="7" t="n"/>
      <c r="L29" s="7" t="n"/>
      <c r="M29" s="7" t="n"/>
      <c r="N29" s="7" t="inlineStr">
        <is>
          <t>מבחן</t>
        </is>
      </c>
      <c r="O29" s="8" t="inlineStr">
        <is>
          <t>בסיס</t>
        </is>
      </c>
      <c r="P29" s="8" t="n"/>
      <c r="Q29" s="8" t="n"/>
      <c r="R29" s="8" t="inlineStr">
        <is>
          <t>בסיס</t>
        </is>
      </c>
      <c r="S29" s="8" t="inlineStr">
        <is>
          <t>בסיס</t>
        </is>
      </c>
      <c r="T29" s="8" t="inlineStr">
        <is>
          <t>בסיס</t>
        </is>
      </c>
      <c r="U29" s="8" t="inlineStr">
        <is>
          <t>בסיס</t>
        </is>
      </c>
      <c r="V29" s="8" t="inlineStr">
        <is>
          <t>בסיס</t>
        </is>
      </c>
      <c r="W29" s="8" t="inlineStr">
        <is>
          <t>בסיס</t>
        </is>
      </c>
      <c r="X29" s="8" t="inlineStr">
        <is>
          <t>בסיס</t>
        </is>
      </c>
      <c r="Y29" s="8" t="inlineStr">
        <is>
          <t>בסיס</t>
        </is>
      </c>
      <c r="Z29" s="8" t="inlineStr">
        <is>
          <t>בסיס</t>
        </is>
      </c>
      <c r="AA29" s="8" t="inlineStr">
        <is>
          <t>בסיס</t>
        </is>
      </c>
      <c r="AB29" s="8" t="inlineStr">
        <is>
          <t>בסיס</t>
        </is>
      </c>
      <c r="AC29" s="8" t="inlineStr">
        <is>
          <t>בסיס</t>
        </is>
      </c>
      <c r="AD29" s="7" t="inlineStr">
        <is>
          <t>חופשה</t>
        </is>
      </c>
      <c r="AE29" s="7" t="inlineStr">
        <is>
          <t>חופשה</t>
        </is>
      </c>
      <c r="AF29" s="7" t="inlineStr">
        <is>
          <t>חופשה</t>
        </is>
      </c>
      <c r="AG29" s="7" t="inlineStr">
        <is>
          <t>חופשה</t>
        </is>
      </c>
      <c r="AH29" s="7" t="inlineStr">
        <is>
          <t>חופשה</t>
        </is>
      </c>
      <c r="AI29" s="7" t="inlineStr">
        <is>
          <t>חופשה</t>
        </is>
      </c>
      <c r="AJ29" s="8" t="inlineStr">
        <is>
          <t>בסיס</t>
        </is>
      </c>
      <c r="AK29" s="8" t="inlineStr">
        <is>
          <t>בסיס</t>
        </is>
      </c>
      <c r="AL29" s="8" t="inlineStr">
        <is>
          <t>בסיס</t>
        </is>
      </c>
      <c r="AM29" s="8" t="inlineStr">
        <is>
          <t>בסיס</t>
        </is>
      </c>
      <c r="AN29" s="8" t="inlineStr">
        <is>
          <t>בסיס</t>
        </is>
      </c>
      <c r="AO29" s="8" t="inlineStr">
        <is>
          <t>בסיס</t>
        </is>
      </c>
      <c r="AP29" s="8" t="inlineStr">
        <is>
          <t>בסיס</t>
        </is>
      </c>
      <c r="AQ29" s="8" t="inlineStr">
        <is>
          <t>בסיס</t>
        </is>
      </c>
      <c r="AR29" s="7" t="inlineStr">
        <is>
          <t>חופשה</t>
        </is>
      </c>
      <c r="AS29" s="7" t="inlineStr">
        <is>
          <t>חופשה</t>
        </is>
      </c>
      <c r="AT29" s="7" t="inlineStr">
        <is>
          <t>חופשה</t>
        </is>
      </c>
      <c r="AU29" s="7" t="inlineStr">
        <is>
          <t>חופשה</t>
        </is>
      </c>
      <c r="AV29" s="7" t="inlineStr">
        <is>
          <t>חופשה</t>
        </is>
      </c>
      <c r="AW29" s="7" t="inlineStr">
        <is>
          <t>חופשה</t>
        </is>
      </c>
      <c r="AX29" s="8" t="inlineStr">
        <is>
          <t>בסיס</t>
        </is>
      </c>
      <c r="AY29" s="8" t="inlineStr">
        <is>
          <t>בסיס</t>
        </is>
      </c>
      <c r="AZ29" s="8" t="inlineStr">
        <is>
          <t>בסיס</t>
        </is>
      </c>
      <c r="BA29" s="8" t="inlineStr">
        <is>
          <t>בסיס</t>
        </is>
      </c>
      <c r="BB29" s="8" t="inlineStr">
        <is>
          <t>בסיס</t>
        </is>
      </c>
      <c r="BC29" s="8" t="inlineStr">
        <is>
          <t>בסיס</t>
        </is>
      </c>
      <c r="BD29" s="8" t="inlineStr">
        <is>
          <t>בסיס</t>
        </is>
      </c>
      <c r="BE29" s="8" t="inlineStr">
        <is>
          <t>בסיס</t>
        </is>
      </c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9">
        <f>COUNTIF(D29:DA29,"בסיס")</f>
        <v/>
      </c>
      <c r="DC29" s="9">
        <f>COUNTIF(D29:DA29,"בית")</f>
        <v/>
      </c>
      <c r="DD29" s="9">
        <f>SUMPRODUCT($D$36:$DA$36,--(D29:DA29="בית"))</f>
        <v/>
      </c>
      <c r="DE29" s="9">
        <f>SUMPRODUCT($D$37:$DA$37,--(D29:DA29="בית"))</f>
        <v/>
      </c>
    </row>
    <row r="30">
      <c r="A30" s="5" t="n"/>
      <c r="B30" s="6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9">
        <f>COUNTIF(D30:DA30,"בסיס")</f>
        <v/>
      </c>
      <c r="DC30" s="9">
        <f>COUNTIF(D30:DA30,"בית")</f>
        <v/>
      </c>
      <c r="DD30" s="9">
        <f>SUMPRODUCT($D$36:$DA$36,--(D30:DA30="בית"))</f>
        <v/>
      </c>
      <c r="DE30" s="9">
        <f>SUMPRODUCT($D$37:$DA$37,--(D30:DA30="בית"))</f>
        <v/>
      </c>
    </row>
    <row r="31" ht="19.95" customHeight="1" s="30">
      <c r="A31" s="31" t="inlineStr">
        <is>
          <t>סה"כ בבסיס</t>
        </is>
      </c>
      <c r="D31" s="10">
        <f>COUNTIF(D5:D30,"בסיס")</f>
        <v/>
      </c>
      <c r="E31" s="10">
        <f>COUNTIF(E5:E30,"בסיס")</f>
        <v/>
      </c>
      <c r="F31" s="10">
        <f>COUNTIF(F5:F30,"בסיס")</f>
        <v/>
      </c>
      <c r="G31" s="10">
        <f>COUNTIF(G5:G30,"בסיס")</f>
        <v/>
      </c>
      <c r="H31" s="10">
        <f>COUNTIF(H5:H30,"בסיס")</f>
        <v/>
      </c>
      <c r="I31" s="10">
        <f>COUNTIF(I5:I30,"בסיס")</f>
        <v/>
      </c>
      <c r="J31" s="10">
        <f>COUNTIF(J5:J30,"בסיס")</f>
        <v/>
      </c>
      <c r="K31" s="10">
        <f>COUNTIF(K5:K30,"בסיס")</f>
        <v/>
      </c>
      <c r="L31" s="10">
        <f>COUNTIF(L5:L30,"בסיס")</f>
        <v/>
      </c>
      <c r="M31" s="10">
        <f>COUNTIF(M5:M30,"בסיס")</f>
        <v/>
      </c>
      <c r="N31" s="10">
        <f>COUNTIF(N5:N30,"בסיס")</f>
        <v/>
      </c>
      <c r="O31" s="10">
        <f>COUNTIF(O5:O30,"בסיס")</f>
        <v/>
      </c>
      <c r="P31" s="10">
        <f>COUNTIF(P5:P30,"בסיס")</f>
        <v/>
      </c>
      <c r="Q31" s="10">
        <f>COUNTIF(Q5:Q30,"בסיס")</f>
        <v/>
      </c>
      <c r="R31" s="10">
        <f>COUNTIF(R5:R30,"בסיס")</f>
        <v/>
      </c>
      <c r="S31" s="10">
        <f>COUNTIF(S5:S30,"בסיס")</f>
        <v/>
      </c>
      <c r="T31" s="10">
        <f>COUNTIF(T5:T30,"בסיס")</f>
        <v/>
      </c>
      <c r="U31" s="10">
        <f>COUNTIF(U5:U30,"בסיס")</f>
        <v/>
      </c>
      <c r="V31" s="10">
        <f>COUNTIF(V5:V30,"בסיס")</f>
        <v/>
      </c>
      <c r="W31" s="10">
        <f>COUNTIF(W5:W30,"בסיס")</f>
        <v/>
      </c>
      <c r="X31" s="10">
        <f>COUNTIF(X5:X30,"בסיס")</f>
        <v/>
      </c>
      <c r="Y31" s="10">
        <f>COUNTIF(Y5:Y30,"בסיס")</f>
        <v/>
      </c>
      <c r="Z31" s="10">
        <f>COUNTIF(Z5:Z30,"בסיס")</f>
        <v/>
      </c>
      <c r="AA31" s="10">
        <f>COUNTIF(AA5:AA30,"בסיס")</f>
        <v/>
      </c>
      <c r="AB31" s="10">
        <f>COUNTIF(AB5:AB30,"בסיס")</f>
        <v/>
      </c>
      <c r="AC31" s="10">
        <f>COUNTIF(AC5:AC30,"בסיס")</f>
        <v/>
      </c>
      <c r="AD31" s="10">
        <f>COUNTIF(AD5:AD30,"בסיס")</f>
        <v/>
      </c>
      <c r="AE31" s="10">
        <f>COUNTIF(AE5:AE30,"בסיס")</f>
        <v/>
      </c>
      <c r="AF31" s="10">
        <f>COUNTIF(AF5:AF30,"בסיס")</f>
        <v/>
      </c>
      <c r="AG31" s="10">
        <f>COUNTIF(AG5:AG30,"בסיס")</f>
        <v/>
      </c>
      <c r="AH31" s="10">
        <f>COUNTIF(AH5:AH30,"בסיס")</f>
        <v/>
      </c>
      <c r="AI31" s="10">
        <f>COUNTIF(AI5:AI30,"בסיס")</f>
        <v/>
      </c>
      <c r="AJ31" s="10">
        <f>COUNTIF(AJ5:AJ30,"בסיס")</f>
        <v/>
      </c>
      <c r="AK31" s="10">
        <f>COUNTIF(AK5:AK30,"בסיס")</f>
        <v/>
      </c>
      <c r="AL31" s="10">
        <f>COUNTIF(AL5:AL30,"בסיס")</f>
        <v/>
      </c>
      <c r="AM31" s="10">
        <f>COUNTIF(AM5:AM30,"בסיס")</f>
        <v/>
      </c>
      <c r="AN31" s="10">
        <f>COUNTIF(AN5:AN30,"בסיס")</f>
        <v/>
      </c>
      <c r="AO31" s="10">
        <f>COUNTIF(AO5:AO30,"בסיס")</f>
        <v/>
      </c>
      <c r="AP31" s="10">
        <f>COUNTIF(AP5:AP30,"בסיס")</f>
        <v/>
      </c>
      <c r="AQ31" s="10">
        <f>COUNTIF(AQ5:AQ30,"בסיס")</f>
        <v/>
      </c>
      <c r="AR31" s="10">
        <f>COUNTIF(AR5:AR30,"בסיס")</f>
        <v/>
      </c>
      <c r="AS31" s="10">
        <f>COUNTIF(AS5:AS30,"בסיס")</f>
        <v/>
      </c>
      <c r="AT31" s="10">
        <f>COUNTIF(AT5:AT30,"בסיס")</f>
        <v/>
      </c>
      <c r="AU31" s="10">
        <f>COUNTIF(AU5:AU30,"בסיס")</f>
        <v/>
      </c>
      <c r="AV31" s="10">
        <f>COUNTIF(AV5:AV30,"בסיס")</f>
        <v/>
      </c>
      <c r="AW31" s="10">
        <f>COUNTIF(AW5:AW30,"בסיס")</f>
        <v/>
      </c>
      <c r="AX31" s="10">
        <f>COUNTIF(AX5:AX30,"בסיס")</f>
        <v/>
      </c>
      <c r="AY31" s="10">
        <f>COUNTIF(AY5:AY30,"בסיס")</f>
        <v/>
      </c>
      <c r="AZ31" s="10">
        <f>COUNTIF(AZ5:AZ30,"בסיס")</f>
        <v/>
      </c>
      <c r="BA31" s="10">
        <f>COUNTIF(BA5:BA30,"בסיס")</f>
        <v/>
      </c>
      <c r="BB31" s="10">
        <f>COUNTIF(BB5:BB30,"בסיס")</f>
        <v/>
      </c>
      <c r="BC31" s="10">
        <f>COUNTIF(BC5:BC30,"בסיס")</f>
        <v/>
      </c>
      <c r="BD31" s="10">
        <f>COUNTIF(BD5:BD30,"בסיס")</f>
        <v/>
      </c>
      <c r="BE31" s="10">
        <f>COUNTIF(BE5:BE30,"בסיס")</f>
        <v/>
      </c>
      <c r="BF31" s="10">
        <f>COUNTIF(BF5:BF30,"בסיס")</f>
        <v/>
      </c>
      <c r="BG31" s="10">
        <f>COUNTIF(BG5:BG30,"בסיס")</f>
        <v/>
      </c>
      <c r="BH31" s="10">
        <f>COUNTIF(BH5:BH30,"בסיס")</f>
        <v/>
      </c>
      <c r="BI31" s="10">
        <f>COUNTIF(BI5:BI30,"בסיס")</f>
        <v/>
      </c>
      <c r="BJ31" s="10">
        <f>COUNTIF(BJ5:BJ30,"בסיס")</f>
        <v/>
      </c>
      <c r="BK31" s="10">
        <f>COUNTIF(BK5:BK30,"בסיס")</f>
        <v/>
      </c>
      <c r="BL31" s="10">
        <f>COUNTIF(BL5:BL30,"בסיס")</f>
        <v/>
      </c>
      <c r="BM31" s="10">
        <f>COUNTIF(BM5:BM30,"בסיס")</f>
        <v/>
      </c>
      <c r="BN31" s="10">
        <f>COUNTIF(BN5:BN30,"בסיס")</f>
        <v/>
      </c>
      <c r="BO31" s="10">
        <f>COUNTIF(BO5:BO30,"בסיס")</f>
        <v/>
      </c>
      <c r="BP31" s="10">
        <f>COUNTIF(BP5:BP30,"בסיס")</f>
        <v/>
      </c>
      <c r="BQ31" s="10">
        <f>COUNTIF(BQ5:BQ30,"בסיס")</f>
        <v/>
      </c>
      <c r="BR31" s="10">
        <f>COUNTIF(BR5:BR30,"בסיס")</f>
        <v/>
      </c>
      <c r="BS31" s="10">
        <f>COUNTIF(BS5:BS30,"בסיס")</f>
        <v/>
      </c>
      <c r="BT31" s="10">
        <f>COUNTIF(BT5:BT30,"בסיס")</f>
        <v/>
      </c>
      <c r="BU31" s="10">
        <f>COUNTIF(BU5:BU30,"בסיס")</f>
        <v/>
      </c>
      <c r="BV31" s="10">
        <f>COUNTIF(BV5:BV30,"בסיס")</f>
        <v/>
      </c>
      <c r="BW31" s="10">
        <f>COUNTIF(BW5:BW30,"בסיס")</f>
        <v/>
      </c>
      <c r="BX31" s="10">
        <f>COUNTIF(BX5:BX30,"בסיס")</f>
        <v/>
      </c>
      <c r="BY31" s="10">
        <f>COUNTIF(BY5:BY30,"בסיס")</f>
        <v/>
      </c>
      <c r="BZ31" s="10">
        <f>COUNTIF(BZ5:BZ30,"בסיס")</f>
        <v/>
      </c>
      <c r="CA31" s="10">
        <f>COUNTIF(CA5:CA30,"בסיס")</f>
        <v/>
      </c>
      <c r="CB31" s="10">
        <f>COUNTIF(CB5:CB30,"בסיס")</f>
        <v/>
      </c>
      <c r="CC31" s="10">
        <f>COUNTIF(CC5:CC30,"בסיס")</f>
        <v/>
      </c>
      <c r="CD31" s="10">
        <f>COUNTIF(CD5:CD30,"בסיס")</f>
        <v/>
      </c>
      <c r="CE31" s="10">
        <f>COUNTIF(CE5:CE30,"בסיס")</f>
        <v/>
      </c>
      <c r="CF31" s="10">
        <f>COUNTIF(CF5:CF30,"בסיס")</f>
        <v/>
      </c>
      <c r="CG31" s="10">
        <f>COUNTIF(CG5:CG30,"בסיס")</f>
        <v/>
      </c>
      <c r="CH31" s="10">
        <f>COUNTIF(CH5:CH30,"בסיס")</f>
        <v/>
      </c>
      <c r="CI31" s="10">
        <f>COUNTIF(CI5:CI30,"בסיס")</f>
        <v/>
      </c>
      <c r="CJ31" s="10">
        <f>COUNTIF(CJ5:CJ30,"בסיס")</f>
        <v/>
      </c>
      <c r="CK31" s="10">
        <f>COUNTIF(CK5:CK30,"בסיס")</f>
        <v/>
      </c>
      <c r="CL31" s="10">
        <f>COUNTIF(CL5:CL30,"בסיס")</f>
        <v/>
      </c>
      <c r="CM31" s="10">
        <f>COUNTIF(CM5:CM30,"בסיס")</f>
        <v/>
      </c>
      <c r="CN31" s="10">
        <f>COUNTIF(CN5:CN30,"בסיס")</f>
        <v/>
      </c>
      <c r="CO31" s="10">
        <f>COUNTIF(CO5:CO30,"בסיס")</f>
        <v/>
      </c>
      <c r="CP31" s="10">
        <f>COUNTIF(CP5:CP30,"בסיס")</f>
        <v/>
      </c>
      <c r="CQ31" s="10">
        <f>COUNTIF(CQ5:CQ30,"בסיס")</f>
        <v/>
      </c>
      <c r="CR31" s="10">
        <f>COUNTIF(CR5:CR30,"בסיס")</f>
        <v/>
      </c>
      <c r="CS31" s="10">
        <f>COUNTIF(CS5:CS30,"בסיס")</f>
        <v/>
      </c>
      <c r="CT31" s="10">
        <f>COUNTIF(CT5:CT30,"בסיס")</f>
        <v/>
      </c>
      <c r="CU31" s="10">
        <f>COUNTIF(CU5:CU30,"בסיס")</f>
        <v/>
      </c>
      <c r="CV31" s="10">
        <f>COUNTIF(CV5:CV30,"בסיס")</f>
        <v/>
      </c>
      <c r="CW31" s="10">
        <f>COUNTIF(CW5:CW30,"בסיס")</f>
        <v/>
      </c>
      <c r="CX31" s="10">
        <f>COUNTIF(CX5:CX30,"בסיס")</f>
        <v/>
      </c>
      <c r="CY31" s="10">
        <f>COUNTIF(CY5:CY30,"בסיס")</f>
        <v/>
      </c>
      <c r="CZ31" s="10">
        <f>COUNTIF(CZ5:CZ30,"בסיס")</f>
        <v/>
      </c>
      <c r="DA31" s="10">
        <f>COUNTIF(DA5:DA30,"בסיס")</f>
        <v/>
      </c>
    </row>
    <row r="32">
      <c r="A32" s="31" t="inlineStr">
        <is>
          <t>מחתים בבסיס</t>
        </is>
      </c>
      <c r="D32" s="10">
        <f>COUNTIFS($B$5:$B$30,"*מחתים*",D5:D30,"בסיס")</f>
        <v/>
      </c>
      <c r="E32" s="10">
        <f>COUNTIFS($B$5:$B$30,"*מחתים*",E5:E30,"בסיס")</f>
        <v/>
      </c>
      <c r="F32" s="10">
        <f>COUNTIFS($B$5:$B$30,"*מחתים*",F5:F30,"בסיס")</f>
        <v/>
      </c>
      <c r="G32" s="10">
        <f>COUNTIFS($B$5:$B$30,"*מחתים*",G5:G30,"בסיס")</f>
        <v/>
      </c>
      <c r="H32" s="10">
        <f>COUNTIFS($B$5:$B$30,"*מחתים*",H5:H30,"בסיס")</f>
        <v/>
      </c>
      <c r="I32" s="10">
        <f>COUNTIFS($B$5:$B$30,"*מחתים*",I5:I30,"בסיס")</f>
        <v/>
      </c>
      <c r="J32" s="10">
        <f>COUNTIFS($B$5:$B$30,"*מחתים*",J5:J30,"בסיס")</f>
        <v/>
      </c>
      <c r="K32" s="10">
        <f>COUNTIFS($B$5:$B$30,"*מחתים*",K5:K30,"בסיס")</f>
        <v/>
      </c>
      <c r="L32" s="10">
        <f>COUNTIFS($B$5:$B$30,"*מחתים*",L5:L30,"בסיס")</f>
        <v/>
      </c>
      <c r="M32" s="10">
        <f>COUNTIFS($B$5:$B$30,"*מחתים*",M5:M30,"בסיס")</f>
        <v/>
      </c>
      <c r="N32" s="10">
        <f>COUNTIFS($B$5:$B$30,"*מחתים*",N5:N30,"בסיס")</f>
        <v/>
      </c>
      <c r="O32" s="10">
        <f>COUNTIFS($B$5:$B$30,"*מחתים*",O5:O30,"בסיס")</f>
        <v/>
      </c>
      <c r="P32" s="10">
        <f>COUNTIFS($B$5:$B$30,"*מחתים*",P5:P30,"בסיס")</f>
        <v/>
      </c>
      <c r="Q32" s="10">
        <f>COUNTIFS($B$5:$B$30,"*מחתים*",Q5:Q30,"בסיס")</f>
        <v/>
      </c>
      <c r="R32" s="10">
        <f>COUNTIFS($B$5:$B$30,"*מחתים*",R5:R30,"בסיס")</f>
        <v/>
      </c>
      <c r="S32" s="10">
        <f>COUNTIFS($B$5:$B$30,"*מחתים*",S5:S30,"בסיס")</f>
        <v/>
      </c>
      <c r="T32" s="10">
        <f>COUNTIFS($B$5:$B$30,"*מחתים*",T5:T30,"בסיס")</f>
        <v/>
      </c>
      <c r="U32" s="10">
        <f>COUNTIFS($B$5:$B$30,"*מחתים*",U5:U30,"בסיס")</f>
        <v/>
      </c>
      <c r="V32" s="10">
        <f>COUNTIFS($B$5:$B$30,"*מחתים*",V5:V30,"בסיס")</f>
        <v/>
      </c>
      <c r="W32" s="10">
        <f>COUNTIFS($B$5:$B$30,"*מחתים*",W5:W30,"בסיס")</f>
        <v/>
      </c>
      <c r="X32" s="10">
        <f>COUNTIFS($B$5:$B$30,"*מחתים*",X5:X30,"בסיס")</f>
        <v/>
      </c>
      <c r="Y32" s="10">
        <f>COUNTIFS($B$5:$B$30,"*מחתים*",Y5:Y30,"בסיס")</f>
        <v/>
      </c>
      <c r="Z32" s="10">
        <f>COUNTIFS($B$5:$B$30,"*מחתים*",Z5:Z30,"בסיס")</f>
        <v/>
      </c>
      <c r="AA32" s="10">
        <f>COUNTIFS($B$5:$B$30,"*מחתים*",AA5:AA30,"בסיס")</f>
        <v/>
      </c>
      <c r="AB32" s="10">
        <f>COUNTIFS($B$5:$B$30,"*מחתים*",AB5:AB30,"בסיס")</f>
        <v/>
      </c>
      <c r="AC32" s="10">
        <f>COUNTIFS($B$5:$B$30,"*מחתים*",AC5:AC30,"בסיס")</f>
        <v/>
      </c>
      <c r="AD32" s="10">
        <f>COUNTIFS($B$5:$B$30,"*מחתים*",AD5:AD30,"בסיס")</f>
        <v/>
      </c>
      <c r="AE32" s="10">
        <f>COUNTIFS($B$5:$B$30,"*מחתים*",AE5:AE30,"בסיס")</f>
        <v/>
      </c>
      <c r="AF32" s="10">
        <f>COUNTIFS($B$5:$B$30,"*מחתים*",AF5:AF30,"בסיס")</f>
        <v/>
      </c>
      <c r="AG32" s="10">
        <f>COUNTIFS($B$5:$B$30,"*מחתים*",AG5:AG30,"בסיס")</f>
        <v/>
      </c>
      <c r="AH32" s="10">
        <f>COUNTIFS($B$5:$B$30,"*מחתים*",AH5:AH30,"בסיס")</f>
        <v/>
      </c>
      <c r="AI32" s="10">
        <f>COUNTIFS($B$5:$B$30,"*מחתים*",AI5:AI30,"בסיס")</f>
        <v/>
      </c>
      <c r="AJ32" s="10">
        <f>COUNTIFS($B$5:$B$30,"*מחתים*",AJ5:AJ30,"בסיס")</f>
        <v/>
      </c>
      <c r="AK32" s="10">
        <f>COUNTIFS($B$5:$B$30,"*מחתים*",AK5:AK30,"בסיס")</f>
        <v/>
      </c>
      <c r="AL32" s="10">
        <f>COUNTIFS($B$5:$B$30,"*מחתים*",AL5:AL30,"בסיס")</f>
        <v/>
      </c>
      <c r="AM32" s="10">
        <f>COUNTIFS($B$5:$B$30,"*מחתים*",AM5:AM30,"בסיס")</f>
        <v/>
      </c>
      <c r="AN32" s="10">
        <f>COUNTIFS($B$5:$B$30,"*מחתים*",AN5:AN30,"בסיס")</f>
        <v/>
      </c>
      <c r="AO32" s="10">
        <f>COUNTIFS($B$5:$B$30,"*מחתים*",AO5:AO30,"בסיס")</f>
        <v/>
      </c>
      <c r="AP32" s="10">
        <f>COUNTIFS($B$5:$B$30,"*מחתים*",AP5:AP30,"בסיס")</f>
        <v/>
      </c>
      <c r="AQ32" s="10">
        <f>COUNTIFS($B$5:$B$30,"*מחתים*",AQ5:AQ30,"בסיס")</f>
        <v/>
      </c>
      <c r="AR32" s="10">
        <f>COUNTIFS($B$5:$B$30,"*מחתים*",AR5:AR30,"בסיס")</f>
        <v/>
      </c>
      <c r="AS32" s="10">
        <f>COUNTIFS($B$5:$B$30,"*מחתים*",AS5:AS30,"בסיס")</f>
        <v/>
      </c>
      <c r="AT32" s="10">
        <f>COUNTIFS($B$5:$B$30,"*מחתים*",AT5:AT30,"בסיס")</f>
        <v/>
      </c>
      <c r="AU32" s="10">
        <f>COUNTIFS($B$5:$B$30,"*מחתים*",AU5:AU30,"בסיס")</f>
        <v/>
      </c>
      <c r="AV32" s="10">
        <f>COUNTIFS($B$5:$B$30,"*מחתים*",AV5:AV30,"בסיס")</f>
        <v/>
      </c>
      <c r="AW32" s="10">
        <f>COUNTIFS($B$5:$B$30,"*מחתים*",AW5:AW30,"בסיס")</f>
        <v/>
      </c>
      <c r="AX32" s="10">
        <f>COUNTIFS($B$5:$B$30,"*מחתים*",AX5:AX30,"בסיס")</f>
        <v/>
      </c>
      <c r="AY32" s="10">
        <f>COUNTIFS($B$5:$B$30,"*מחתים*",AY5:AY30,"בסיס")</f>
        <v/>
      </c>
      <c r="AZ32" s="10">
        <f>COUNTIFS($B$5:$B$30,"*מחתים*",AZ5:AZ30,"בסיס")</f>
        <v/>
      </c>
      <c r="BA32" s="10">
        <f>COUNTIFS($B$5:$B$30,"*מחתים*",BA5:BA30,"בסיס")</f>
        <v/>
      </c>
      <c r="BB32" s="10">
        <f>COUNTIFS($B$5:$B$30,"*מחתים*",BB5:BB30,"בסיס")</f>
        <v/>
      </c>
      <c r="BC32" s="10">
        <f>COUNTIFS($B$5:$B$30,"*מחתים*",BC5:BC30,"בסיס")</f>
        <v/>
      </c>
      <c r="BD32" s="10">
        <f>COUNTIFS($B$5:$B$30,"*מחתים*",BD5:BD30,"בסיס")</f>
        <v/>
      </c>
      <c r="BE32" s="10">
        <f>COUNTIFS($B$5:$B$30,"*מחתים*",BE5:BE30,"בסיס")</f>
        <v/>
      </c>
      <c r="BF32" s="10">
        <f>COUNTIFS($B$5:$B$30,"*מחתים*",BF5:BF30,"בסיס")</f>
        <v/>
      </c>
      <c r="BG32" s="10">
        <f>COUNTIFS($B$5:$B$30,"*מחתים*",BG5:BG30,"בסיס")</f>
        <v/>
      </c>
      <c r="BH32" s="10">
        <f>COUNTIFS($B$5:$B$30,"*מחתים*",BH5:BH30,"בסיס")</f>
        <v/>
      </c>
      <c r="BI32" s="10">
        <f>COUNTIFS($B$5:$B$30,"*מחתים*",BI5:BI30,"בסיס")</f>
        <v/>
      </c>
      <c r="BJ32" s="10">
        <f>COUNTIFS($B$5:$B$30,"*מחתים*",BJ5:BJ30,"בסיס")</f>
        <v/>
      </c>
      <c r="BK32" s="10">
        <f>COUNTIFS($B$5:$B$30,"*מחתים*",BK5:BK30,"בסיס")</f>
        <v/>
      </c>
      <c r="BL32" s="10">
        <f>COUNTIFS($B$5:$B$30,"*מחתים*",BL5:BL30,"בסיס")</f>
        <v/>
      </c>
      <c r="BM32" s="10">
        <f>COUNTIFS($B$5:$B$30,"*מחתים*",BM5:BM30,"בסיס")</f>
        <v/>
      </c>
      <c r="BN32" s="10">
        <f>COUNTIFS($B$5:$B$30,"*מחתים*",BN5:BN30,"בסיס")</f>
        <v/>
      </c>
      <c r="BO32" s="10">
        <f>COUNTIFS($B$5:$B$30,"*מחתים*",BO5:BO30,"בסיס")</f>
        <v/>
      </c>
      <c r="BP32" s="10">
        <f>COUNTIFS($B$5:$B$30,"*מחתים*",BP5:BP30,"בסיס")</f>
        <v/>
      </c>
      <c r="BQ32" s="10">
        <f>COUNTIFS($B$5:$B$30,"*מחתים*",BQ5:BQ30,"בסיס")</f>
        <v/>
      </c>
      <c r="BR32" s="10">
        <f>COUNTIFS($B$5:$B$30,"*מחתים*",BR5:BR30,"בסיס")</f>
        <v/>
      </c>
      <c r="BS32" s="10">
        <f>COUNTIFS($B$5:$B$30,"*מחתים*",BS5:BS30,"בסיס")</f>
        <v/>
      </c>
      <c r="BT32" s="10">
        <f>COUNTIFS($B$5:$B$30,"*מחתים*",BT5:BT30,"בסיס")</f>
        <v/>
      </c>
      <c r="BU32" s="10">
        <f>COUNTIFS($B$5:$B$30,"*מחתים*",BU5:BU30,"בסיס")</f>
        <v/>
      </c>
      <c r="BV32" s="10">
        <f>COUNTIFS($B$5:$B$30,"*מחתים*",BV5:BV30,"בסיס")</f>
        <v/>
      </c>
      <c r="BW32" s="10">
        <f>COUNTIFS($B$5:$B$30,"*מחתים*",BW5:BW30,"בסיס")</f>
        <v/>
      </c>
      <c r="BX32" s="10">
        <f>COUNTIFS($B$5:$B$30,"*מחתים*",BX5:BX30,"בסיס")</f>
        <v/>
      </c>
      <c r="BY32" s="10">
        <f>COUNTIFS($B$5:$B$30,"*מחתים*",BY5:BY30,"בסיס")</f>
        <v/>
      </c>
      <c r="BZ32" s="10">
        <f>COUNTIFS($B$5:$B$30,"*מחתים*",BZ5:BZ30,"בסיס")</f>
        <v/>
      </c>
      <c r="CA32" s="10">
        <f>COUNTIFS($B$5:$B$30,"*מחתים*",CA5:CA30,"בסיס")</f>
        <v/>
      </c>
      <c r="CB32" s="10">
        <f>COUNTIFS($B$5:$B$30,"*מחתים*",CB5:CB30,"בסיס")</f>
        <v/>
      </c>
      <c r="CC32" s="10">
        <f>COUNTIFS($B$5:$B$30,"*מחתים*",CC5:CC30,"בסיס")</f>
        <v/>
      </c>
      <c r="CD32" s="10">
        <f>COUNTIFS($B$5:$B$30,"*מחתים*",CD5:CD30,"בסיס")</f>
        <v/>
      </c>
      <c r="CE32" s="10">
        <f>COUNTIFS($B$5:$B$30,"*מחתים*",CE5:CE30,"בסיס")</f>
        <v/>
      </c>
      <c r="CF32" s="10">
        <f>COUNTIFS($B$5:$B$30,"*מחתים*",CF5:CF30,"בסיס")</f>
        <v/>
      </c>
      <c r="CG32" s="10">
        <f>COUNTIFS($B$5:$B$30,"*מחתים*",CG5:CG30,"בסיס")</f>
        <v/>
      </c>
      <c r="CH32" s="10">
        <f>COUNTIFS($B$5:$B$30,"*מחתים*",CH5:CH30,"בסיס")</f>
        <v/>
      </c>
      <c r="CI32" s="10">
        <f>COUNTIFS($B$5:$B$30,"*מחתים*",CI5:CI30,"בסיס")</f>
        <v/>
      </c>
      <c r="CJ32" s="10">
        <f>COUNTIFS($B$5:$B$30,"*מחתים*",CJ5:CJ30,"בסיס")</f>
        <v/>
      </c>
      <c r="CK32" s="10">
        <f>COUNTIFS($B$5:$B$30,"*מחתים*",CK5:CK30,"בסיס")</f>
        <v/>
      </c>
      <c r="CL32" s="10">
        <f>COUNTIFS($B$5:$B$30,"*מחתים*",CL5:CL30,"בסיס")</f>
        <v/>
      </c>
      <c r="CM32" s="10">
        <f>COUNTIFS($B$5:$B$30,"*מחתים*",CM5:CM30,"בסיס")</f>
        <v/>
      </c>
      <c r="CN32" s="10">
        <f>COUNTIFS($B$5:$B$30,"*מחתים*",CN5:CN30,"בסיס")</f>
        <v/>
      </c>
      <c r="CO32" s="10">
        <f>COUNTIFS($B$5:$B$30,"*מחתים*",CO5:CO30,"בסיס")</f>
        <v/>
      </c>
      <c r="CP32" s="10">
        <f>COUNTIFS($B$5:$B$30,"*מחתים*",CP5:CP30,"בסיס")</f>
        <v/>
      </c>
      <c r="CQ32" s="10">
        <f>COUNTIFS($B$5:$B$30,"*מחתים*",CQ5:CQ30,"בסיס")</f>
        <v/>
      </c>
      <c r="CR32" s="10">
        <f>COUNTIFS($B$5:$B$30,"*מחתים*",CR5:CR30,"בסיס")</f>
        <v/>
      </c>
      <c r="CS32" s="10">
        <f>COUNTIFS($B$5:$B$30,"*מחתים*",CS5:CS30,"בסיס")</f>
        <v/>
      </c>
      <c r="CT32" s="10">
        <f>COUNTIFS($B$5:$B$30,"*מחתים*",CT5:CT30,"בסיס")</f>
        <v/>
      </c>
      <c r="CU32" s="10">
        <f>COUNTIFS($B$5:$B$30,"*מחתים*",CU5:CU30,"בסיס")</f>
        <v/>
      </c>
      <c r="CV32" s="10">
        <f>COUNTIFS($B$5:$B$30,"*מחתים*",CV5:CV30,"בסיס")</f>
        <v/>
      </c>
      <c r="CW32" s="10">
        <f>COUNTIFS($B$5:$B$30,"*מחתים*",CW5:CW30,"בסיס")</f>
        <v/>
      </c>
      <c r="CX32" s="10">
        <f>COUNTIFS($B$5:$B$30,"*מחתים*",CX5:CX30,"בסיס")</f>
        <v/>
      </c>
      <c r="CY32" s="10">
        <f>COUNTIFS($B$5:$B$30,"*מחתים*",CY5:CY30,"בסיס")</f>
        <v/>
      </c>
      <c r="CZ32" s="10">
        <f>COUNTIFS($B$5:$B$30,"*מחתים*",CZ5:CZ30,"בסיס")</f>
        <v/>
      </c>
      <c r="DA32" s="10">
        <f>COUNTIFS($B$5:$B$30,"*מחתים*",DA5:DA30,"בסיס")</f>
        <v/>
      </c>
    </row>
    <row r="33">
      <c r="A33" s="31" t="inlineStr">
        <is>
          <t>לוגיסטיקה בבסיס</t>
        </is>
      </c>
      <c r="D33" s="10">
        <f>COUNTIFS($B$5:$B$30,"*לוגיסטיקה*",D5:D30,"בסיס")</f>
        <v/>
      </c>
      <c r="E33" s="10">
        <f>COUNTIFS($B$5:$B$30,"*לוגיסטיקה*",E5:E30,"בסיס")</f>
        <v/>
      </c>
      <c r="F33" s="10">
        <f>COUNTIFS($B$5:$B$30,"*לוגיסטיקה*",F5:F30,"בסיס")</f>
        <v/>
      </c>
      <c r="G33" s="10">
        <f>COUNTIFS($B$5:$B$30,"*לוגיסטיקה*",G5:G30,"בסיס")</f>
        <v/>
      </c>
      <c r="H33" s="10">
        <f>COUNTIFS($B$5:$B$30,"*לוגיסטיקה*",H5:H30,"בסיס")</f>
        <v/>
      </c>
      <c r="I33" s="10">
        <f>COUNTIFS($B$5:$B$30,"*לוגיסטיקה*",I5:I30,"בסיס")</f>
        <v/>
      </c>
      <c r="J33" s="10">
        <f>COUNTIFS($B$5:$B$30,"*לוגיסטיקה*",J5:J30,"בסיס")</f>
        <v/>
      </c>
      <c r="K33" s="10">
        <f>COUNTIFS($B$5:$B$30,"*לוגיסטיקה*",K5:K30,"בסיס")</f>
        <v/>
      </c>
      <c r="L33" s="10">
        <f>COUNTIFS($B$5:$B$30,"*לוגיסטיקה*",L5:L30,"בסיס")</f>
        <v/>
      </c>
      <c r="M33" s="10">
        <f>COUNTIFS($B$5:$B$30,"*לוגיסטיקה*",M5:M30,"בסיס")</f>
        <v/>
      </c>
      <c r="N33" s="10">
        <f>COUNTIFS($B$5:$B$30,"*לוגיסטיקה*",N5:N30,"בסיס")</f>
        <v/>
      </c>
      <c r="O33" s="10">
        <f>COUNTIFS($B$5:$B$30,"*לוגיסטיקה*",O5:O30,"בסיס")</f>
        <v/>
      </c>
      <c r="P33" s="10">
        <f>COUNTIFS($B$5:$B$30,"*לוגיסטיקה*",P5:P30,"בסיס")</f>
        <v/>
      </c>
      <c r="Q33" s="10">
        <f>COUNTIFS($B$5:$B$30,"*לוגיסטיקה*",Q5:Q30,"בסיס")</f>
        <v/>
      </c>
      <c r="R33" s="10">
        <f>COUNTIFS($B$5:$B$30,"*לוגיסטיקה*",R5:R30,"בסיס")</f>
        <v/>
      </c>
      <c r="S33" s="10">
        <f>COUNTIFS($B$5:$B$30,"*לוגיסטיקה*",S5:S30,"בסיס")</f>
        <v/>
      </c>
      <c r="T33" s="10">
        <f>COUNTIFS($B$5:$B$30,"*לוגיסטיקה*",T5:T30,"בסיס")</f>
        <v/>
      </c>
      <c r="U33" s="10">
        <f>COUNTIFS($B$5:$B$30,"*לוגיסטיקה*",U5:U30,"בסיס")</f>
        <v/>
      </c>
      <c r="V33" s="10">
        <f>COUNTIFS($B$5:$B$30,"*לוגיסטיקה*",V5:V30,"בסיס")</f>
        <v/>
      </c>
      <c r="W33" s="10">
        <f>COUNTIFS($B$5:$B$30,"*לוגיסטיקה*",W5:W30,"בסיס")</f>
        <v/>
      </c>
      <c r="X33" s="10">
        <f>COUNTIFS($B$5:$B$30,"*לוגיסטיקה*",X5:X30,"בסיס")</f>
        <v/>
      </c>
      <c r="Y33" s="10">
        <f>COUNTIFS($B$5:$B$30,"*לוגיסטיקה*",Y5:Y30,"בסיס")</f>
        <v/>
      </c>
      <c r="Z33" s="10">
        <f>COUNTIFS($B$5:$B$30,"*לוגיסטיקה*",Z5:Z30,"בסיס")</f>
        <v/>
      </c>
      <c r="AA33" s="10">
        <f>COUNTIFS($B$5:$B$30,"*לוגיסטיקה*",AA5:AA30,"בסיס")</f>
        <v/>
      </c>
      <c r="AB33" s="10">
        <f>COUNTIFS($B$5:$B$30,"*לוגיסטיקה*",AB5:AB30,"בסיס")</f>
        <v/>
      </c>
      <c r="AC33" s="10">
        <f>COUNTIFS($B$5:$B$30,"*לוגיסטיקה*",AC5:AC30,"בסיס")</f>
        <v/>
      </c>
      <c r="AD33" s="10">
        <f>COUNTIFS($B$5:$B$30,"*לוגיסטיקה*",AD5:AD30,"בסיס")</f>
        <v/>
      </c>
      <c r="AE33" s="10">
        <f>COUNTIFS($B$5:$B$30,"*לוגיסטיקה*",AE5:AE30,"בסיס")</f>
        <v/>
      </c>
      <c r="AF33" s="10">
        <f>COUNTIFS($B$5:$B$30,"*לוגיסטיקה*",AF5:AF30,"בסיס")</f>
        <v/>
      </c>
      <c r="AG33" s="10">
        <f>COUNTIFS($B$5:$B$30,"*לוגיסטיקה*",AG5:AG30,"בסיס")</f>
        <v/>
      </c>
      <c r="AH33" s="10">
        <f>COUNTIFS($B$5:$B$30,"*לוגיסטיקה*",AH5:AH30,"בסיס")</f>
        <v/>
      </c>
      <c r="AI33" s="10">
        <f>COUNTIFS($B$5:$B$30,"*לוגיסטיקה*",AI5:AI30,"בסיס")</f>
        <v/>
      </c>
      <c r="AJ33" s="10">
        <f>COUNTIFS($B$5:$B$30,"*לוגיסטיקה*",AJ5:AJ30,"בסיס")</f>
        <v/>
      </c>
      <c r="AK33" s="10">
        <f>COUNTIFS($B$5:$B$30,"*לוגיסטיקה*",AK5:AK30,"בסיס")</f>
        <v/>
      </c>
      <c r="AL33" s="10">
        <f>COUNTIFS($B$5:$B$30,"*לוגיסטיקה*",AL5:AL30,"בסיס")</f>
        <v/>
      </c>
      <c r="AM33" s="10">
        <f>COUNTIFS($B$5:$B$30,"*לוגיסטיקה*",AM5:AM30,"בסיס")</f>
        <v/>
      </c>
      <c r="AN33" s="10">
        <f>COUNTIFS($B$5:$B$30,"*לוגיסטיקה*",AN5:AN30,"בסיס")</f>
        <v/>
      </c>
      <c r="AO33" s="10">
        <f>COUNTIFS($B$5:$B$30,"*לוגיסטיקה*",AO5:AO30,"בסיס")</f>
        <v/>
      </c>
      <c r="AP33" s="10">
        <f>COUNTIFS($B$5:$B$30,"*לוגיסטיקה*",AP5:AP30,"בסיס")</f>
        <v/>
      </c>
      <c r="AQ33" s="10">
        <f>COUNTIFS($B$5:$B$30,"*לוגיסטיקה*",AQ5:AQ30,"בסיס")</f>
        <v/>
      </c>
      <c r="AR33" s="10">
        <f>COUNTIFS($B$5:$B$30,"*לוגיסטיקה*",AR5:AR30,"בסיס")</f>
        <v/>
      </c>
      <c r="AS33" s="10">
        <f>COUNTIFS($B$5:$B$30,"*לוגיסטיקה*",AS5:AS30,"בסיס")</f>
        <v/>
      </c>
      <c r="AT33" s="10">
        <f>COUNTIFS($B$5:$B$30,"*לוגיסטיקה*",AT5:AT30,"בסיס")</f>
        <v/>
      </c>
      <c r="AU33" s="10">
        <f>COUNTIFS($B$5:$B$30,"*לוגיסטיקה*",AU5:AU30,"בסיס")</f>
        <v/>
      </c>
      <c r="AV33" s="10">
        <f>COUNTIFS($B$5:$B$30,"*לוגיסטיקה*",AV5:AV30,"בסיס")</f>
        <v/>
      </c>
      <c r="AW33" s="10">
        <f>COUNTIFS($B$5:$B$30,"*לוגיסטיקה*",AW5:AW30,"בסיס")</f>
        <v/>
      </c>
      <c r="AX33" s="10">
        <f>COUNTIFS($B$5:$B$30,"*לוגיסטיקה*",AX5:AX30,"בסיס")</f>
        <v/>
      </c>
      <c r="AY33" s="10">
        <f>COUNTIFS($B$5:$B$30,"*לוגיסטיקה*",AY5:AY30,"בסיס")</f>
        <v/>
      </c>
      <c r="AZ33" s="10">
        <f>COUNTIFS($B$5:$B$30,"*לוגיסטיקה*",AZ5:AZ30,"בסיס")</f>
        <v/>
      </c>
      <c r="BA33" s="10">
        <f>COUNTIFS($B$5:$B$30,"*לוגיסטיקה*",BA5:BA30,"בסיס")</f>
        <v/>
      </c>
      <c r="BB33" s="10">
        <f>COUNTIFS($B$5:$B$30,"*לוגיסטיקה*",BB5:BB30,"בסיס")</f>
        <v/>
      </c>
      <c r="BC33" s="10">
        <f>COUNTIFS($B$5:$B$30,"*לוגיסטיקה*",BC5:BC30,"בסיס")</f>
        <v/>
      </c>
      <c r="BD33" s="10">
        <f>COUNTIFS($B$5:$B$30,"*לוגיסטיקה*",BD5:BD30,"בסיס")</f>
        <v/>
      </c>
      <c r="BE33" s="10">
        <f>COUNTIFS($B$5:$B$30,"*לוגיסטיקה*",BE5:BE30,"בסיס")</f>
        <v/>
      </c>
      <c r="BF33" s="10">
        <f>COUNTIFS($B$5:$B$30,"*לוגיסטיקה*",BF5:BF30,"בסיס")</f>
        <v/>
      </c>
      <c r="BG33" s="10">
        <f>COUNTIFS($B$5:$B$30,"*לוגיסטיקה*",BG5:BG30,"בסיס")</f>
        <v/>
      </c>
      <c r="BH33" s="10">
        <f>COUNTIFS($B$5:$B$30,"*לוגיסטיקה*",BH5:BH30,"בסיס")</f>
        <v/>
      </c>
      <c r="BI33" s="10">
        <f>COUNTIFS($B$5:$B$30,"*לוגיסטיקה*",BI5:BI30,"בסיס")</f>
        <v/>
      </c>
      <c r="BJ33" s="10">
        <f>COUNTIFS($B$5:$B$30,"*לוגיסטיקה*",BJ5:BJ30,"בסיס")</f>
        <v/>
      </c>
      <c r="BK33" s="10">
        <f>COUNTIFS($B$5:$B$30,"*לוגיסטיקה*",BK5:BK30,"בסיס")</f>
        <v/>
      </c>
      <c r="BL33" s="10">
        <f>COUNTIFS($B$5:$B$30,"*לוגיסטיקה*",BL5:BL30,"בסיס")</f>
        <v/>
      </c>
      <c r="BM33" s="10">
        <f>COUNTIFS($B$5:$B$30,"*לוגיסטיקה*",BM5:BM30,"בסיס")</f>
        <v/>
      </c>
      <c r="BN33" s="10">
        <f>COUNTIFS($B$5:$B$30,"*לוגיסטיקה*",BN5:BN30,"בסיס")</f>
        <v/>
      </c>
      <c r="BO33" s="10">
        <f>COUNTIFS($B$5:$B$30,"*לוגיסטיקה*",BO5:BO30,"בסיס")</f>
        <v/>
      </c>
      <c r="BP33" s="10">
        <f>COUNTIFS($B$5:$B$30,"*לוגיסטיקה*",BP5:BP30,"בסיס")</f>
        <v/>
      </c>
      <c r="BQ33" s="10">
        <f>COUNTIFS($B$5:$B$30,"*לוגיסטיקה*",BQ5:BQ30,"בסיס")</f>
        <v/>
      </c>
      <c r="BR33" s="10">
        <f>COUNTIFS($B$5:$B$30,"*לוגיסטיקה*",BR5:BR30,"בסיס")</f>
        <v/>
      </c>
      <c r="BS33" s="10">
        <f>COUNTIFS($B$5:$B$30,"*לוגיסטיקה*",BS5:BS30,"בסיס")</f>
        <v/>
      </c>
      <c r="BT33" s="10">
        <f>COUNTIFS($B$5:$B$30,"*לוגיסטיקה*",BT5:BT30,"בסיס")</f>
        <v/>
      </c>
      <c r="BU33" s="10">
        <f>COUNTIFS($B$5:$B$30,"*לוגיסטיקה*",BU5:BU30,"בסיס")</f>
        <v/>
      </c>
      <c r="BV33" s="10">
        <f>COUNTIFS($B$5:$B$30,"*לוגיסטיקה*",BV5:BV30,"בסיס")</f>
        <v/>
      </c>
      <c r="BW33" s="10">
        <f>COUNTIFS($B$5:$B$30,"*לוגיסטיקה*",BW5:BW30,"בסיס")</f>
        <v/>
      </c>
      <c r="BX33" s="10">
        <f>COUNTIFS($B$5:$B$30,"*לוגיסטיקה*",BX5:BX30,"בסיס")</f>
        <v/>
      </c>
      <c r="BY33" s="10">
        <f>COUNTIFS($B$5:$B$30,"*לוגיסטיקה*",BY5:BY30,"בסיס")</f>
        <v/>
      </c>
      <c r="BZ33" s="10">
        <f>COUNTIFS($B$5:$B$30,"*לוגיסטיקה*",BZ5:BZ30,"בסיס")</f>
        <v/>
      </c>
      <c r="CA33" s="10">
        <f>COUNTIFS($B$5:$B$30,"*לוגיסטיקה*",CA5:CA30,"בסיס")</f>
        <v/>
      </c>
      <c r="CB33" s="10">
        <f>COUNTIFS($B$5:$B$30,"*לוגיסטיקה*",CB5:CB30,"בסיס")</f>
        <v/>
      </c>
      <c r="CC33" s="10">
        <f>COUNTIFS($B$5:$B$30,"*לוגיסטיקה*",CC5:CC30,"בסיס")</f>
        <v/>
      </c>
      <c r="CD33" s="10">
        <f>COUNTIFS($B$5:$B$30,"*לוגיסטיקה*",CD5:CD30,"בסיס")</f>
        <v/>
      </c>
      <c r="CE33" s="10">
        <f>COUNTIFS($B$5:$B$30,"*לוגיסטיקה*",CE5:CE30,"בסיס")</f>
        <v/>
      </c>
      <c r="CF33" s="10">
        <f>COUNTIFS($B$5:$B$30,"*לוגיסטיקה*",CF5:CF30,"בסיס")</f>
        <v/>
      </c>
      <c r="CG33" s="10">
        <f>COUNTIFS($B$5:$B$30,"*לוגיסטיקה*",CG5:CG30,"בסיס")</f>
        <v/>
      </c>
      <c r="CH33" s="10">
        <f>COUNTIFS($B$5:$B$30,"*לוגיסטיקה*",CH5:CH30,"בסיס")</f>
        <v/>
      </c>
      <c r="CI33" s="10">
        <f>COUNTIFS($B$5:$B$30,"*לוגיסטיקה*",CI5:CI30,"בסיס")</f>
        <v/>
      </c>
      <c r="CJ33" s="10">
        <f>COUNTIFS($B$5:$B$30,"*לוגיסטיקה*",CJ5:CJ30,"בסיס")</f>
        <v/>
      </c>
      <c r="CK33" s="10">
        <f>COUNTIFS($B$5:$B$30,"*לוגיסטיקה*",CK5:CK30,"בסיס")</f>
        <v/>
      </c>
      <c r="CL33" s="10">
        <f>COUNTIFS($B$5:$B$30,"*לוגיסטיקה*",CL5:CL30,"בסיס")</f>
        <v/>
      </c>
      <c r="CM33" s="10">
        <f>COUNTIFS($B$5:$B$30,"*לוגיסטיקה*",CM5:CM30,"בסיס")</f>
        <v/>
      </c>
      <c r="CN33" s="10">
        <f>COUNTIFS($B$5:$B$30,"*לוגיסטיקה*",CN5:CN30,"בסיס")</f>
        <v/>
      </c>
      <c r="CO33" s="10">
        <f>COUNTIFS($B$5:$B$30,"*לוגיסטיקה*",CO5:CO30,"בסיס")</f>
        <v/>
      </c>
      <c r="CP33" s="10">
        <f>COUNTIFS($B$5:$B$30,"*לוגיסטיקה*",CP5:CP30,"בסיס")</f>
        <v/>
      </c>
      <c r="CQ33" s="10">
        <f>COUNTIFS($B$5:$B$30,"*לוגיסטיקה*",CQ5:CQ30,"בסיס")</f>
        <v/>
      </c>
      <c r="CR33" s="10">
        <f>COUNTIFS($B$5:$B$30,"*לוגיסטיקה*",CR5:CR30,"בסיס")</f>
        <v/>
      </c>
      <c r="CS33" s="10">
        <f>COUNTIFS($B$5:$B$30,"*לוגיסטיקה*",CS5:CS30,"בסיס")</f>
        <v/>
      </c>
      <c r="CT33" s="10">
        <f>COUNTIFS($B$5:$B$30,"*לוגיסטיקה*",CT5:CT30,"בסיס")</f>
        <v/>
      </c>
      <c r="CU33" s="10">
        <f>COUNTIFS($B$5:$B$30,"*לוגיסטיקה*",CU5:CU30,"בסיס")</f>
        <v/>
      </c>
      <c r="CV33" s="10">
        <f>COUNTIFS($B$5:$B$30,"*לוגיסטיקה*",CV5:CV30,"בסיס")</f>
        <v/>
      </c>
      <c r="CW33" s="10">
        <f>COUNTIFS($B$5:$B$30,"*לוגיסטיקה*",CW5:CW30,"בסיס")</f>
        <v/>
      </c>
      <c r="CX33" s="10">
        <f>COUNTIFS($B$5:$B$30,"*לוגיסטיקה*",CX5:CX30,"בסיס")</f>
        <v/>
      </c>
      <c r="CY33" s="10">
        <f>COUNTIFS($B$5:$B$30,"*לוגיסטיקה*",CY5:CY30,"בסיס")</f>
        <v/>
      </c>
      <c r="CZ33" s="10">
        <f>COUNTIFS($B$5:$B$30,"*לוגיסטיקה*",CZ5:CZ30,"בסיס")</f>
        <v/>
      </c>
      <c r="DA33" s="10">
        <f>COUNTIFS($B$5:$B$30,"*לוגיסטיקה*",DA5:DA30,"בסיס")</f>
        <v/>
      </c>
    </row>
    <row r="34">
      <c r="A34" s="31" t="inlineStr">
        <is>
          <t>סה"כ בבית</t>
        </is>
      </c>
      <c r="D34" s="10">
        <f>COUNTIF(D5:D30,"בית")</f>
        <v/>
      </c>
      <c r="E34" s="10">
        <f>COUNTIF(E5:E30,"בית")</f>
        <v/>
      </c>
      <c r="F34" s="10">
        <f>COUNTIF(F5:F30,"בית")</f>
        <v/>
      </c>
      <c r="G34" s="10">
        <f>COUNTIF(G5:G30,"בית")</f>
        <v/>
      </c>
      <c r="H34" s="10">
        <f>COUNTIF(H5:H30,"בית")</f>
        <v/>
      </c>
      <c r="I34" s="10">
        <f>COUNTIF(I5:I30,"בית")</f>
        <v/>
      </c>
      <c r="J34" s="10">
        <f>COUNTIF(J5:J30,"בית")</f>
        <v/>
      </c>
      <c r="K34" s="10">
        <f>COUNTIF(K5:K30,"בית")</f>
        <v/>
      </c>
      <c r="L34" s="10">
        <f>COUNTIF(L5:L30,"בית")</f>
        <v/>
      </c>
      <c r="M34" s="10">
        <f>COUNTIF(M5:M30,"בית")</f>
        <v/>
      </c>
      <c r="N34" s="10">
        <f>COUNTIF(N5:N30,"בית")</f>
        <v/>
      </c>
      <c r="O34" s="10">
        <f>COUNTIF(O5:O30,"בית")</f>
        <v/>
      </c>
      <c r="P34" s="10">
        <f>COUNTIF(P5:P30,"בית")</f>
        <v/>
      </c>
      <c r="Q34" s="10">
        <f>COUNTIF(Q5:Q30,"בית")</f>
        <v/>
      </c>
      <c r="R34" s="10">
        <f>COUNTIF(R5:R30,"בית")</f>
        <v/>
      </c>
      <c r="S34" s="10">
        <f>COUNTIF(S5:S30,"בית")</f>
        <v/>
      </c>
      <c r="T34" s="10">
        <f>COUNTIF(T5:T30,"בית")</f>
        <v/>
      </c>
      <c r="U34" s="10">
        <f>COUNTIF(U5:U30,"בית")</f>
        <v/>
      </c>
      <c r="V34" s="10">
        <f>COUNTIF(V5:V30,"בית")</f>
        <v/>
      </c>
      <c r="W34" s="10">
        <f>COUNTIF(W5:W30,"בית")</f>
        <v/>
      </c>
      <c r="X34" s="10">
        <f>COUNTIF(X5:X30,"בית")</f>
        <v/>
      </c>
      <c r="Y34" s="10">
        <f>COUNTIF(Y5:Y30,"בית")</f>
        <v/>
      </c>
      <c r="Z34" s="10">
        <f>COUNTIF(Z5:Z30,"בית")</f>
        <v/>
      </c>
      <c r="AA34" s="10">
        <f>COUNTIF(AA5:AA30,"בית")</f>
        <v/>
      </c>
      <c r="AB34" s="10">
        <f>COUNTIF(AB5:AB30,"בית")</f>
        <v/>
      </c>
      <c r="AC34" s="10">
        <f>COUNTIF(AC5:AC30,"בית")</f>
        <v/>
      </c>
      <c r="AD34" s="10">
        <f>COUNTIF(AD5:AD30,"בית")</f>
        <v/>
      </c>
      <c r="AE34" s="10">
        <f>COUNTIF(AE5:AE30,"בית")</f>
        <v/>
      </c>
      <c r="AF34" s="10">
        <f>COUNTIF(AF5:AF30,"בית")</f>
        <v/>
      </c>
      <c r="AG34" s="10">
        <f>COUNTIF(AG5:AG30,"בית")</f>
        <v/>
      </c>
      <c r="AH34" s="10">
        <f>COUNTIF(AH5:AH30,"בית")</f>
        <v/>
      </c>
      <c r="AI34" s="10">
        <f>COUNTIF(AI5:AI30,"בית")</f>
        <v/>
      </c>
      <c r="AJ34" s="10">
        <f>COUNTIF(AJ5:AJ30,"בית")</f>
        <v/>
      </c>
      <c r="AK34" s="10">
        <f>COUNTIF(AK5:AK30,"בית")</f>
        <v/>
      </c>
      <c r="AL34" s="10">
        <f>COUNTIF(AL5:AL30,"בית")</f>
        <v/>
      </c>
      <c r="AM34" s="10">
        <f>COUNTIF(AM5:AM30,"בית")</f>
        <v/>
      </c>
      <c r="AN34" s="10">
        <f>COUNTIF(AN5:AN30,"בית")</f>
        <v/>
      </c>
      <c r="AO34" s="10">
        <f>COUNTIF(AO5:AO30,"בית")</f>
        <v/>
      </c>
      <c r="AP34" s="10">
        <f>COUNTIF(AP5:AP30,"בית")</f>
        <v/>
      </c>
      <c r="AQ34" s="10">
        <f>COUNTIF(AQ5:AQ30,"בית")</f>
        <v/>
      </c>
      <c r="AR34" s="10">
        <f>COUNTIF(AR5:AR30,"בית")</f>
        <v/>
      </c>
      <c r="AS34" s="10">
        <f>COUNTIF(AS5:AS30,"בית")</f>
        <v/>
      </c>
      <c r="AT34" s="10">
        <f>COUNTIF(AT5:AT30,"בית")</f>
        <v/>
      </c>
      <c r="AU34" s="10">
        <f>COUNTIF(AU5:AU30,"בית")</f>
        <v/>
      </c>
      <c r="AV34" s="10">
        <f>COUNTIF(AV5:AV30,"בית")</f>
        <v/>
      </c>
      <c r="AW34" s="10">
        <f>COUNTIF(AW5:AW30,"בית")</f>
        <v/>
      </c>
      <c r="AX34" s="10">
        <f>COUNTIF(AX5:AX30,"בית")</f>
        <v/>
      </c>
      <c r="AY34" s="10">
        <f>COUNTIF(AY5:AY30,"בית")</f>
        <v/>
      </c>
      <c r="AZ34" s="10">
        <f>COUNTIF(AZ5:AZ30,"בית")</f>
        <v/>
      </c>
      <c r="BA34" s="10">
        <f>COUNTIF(BA5:BA30,"בית")</f>
        <v/>
      </c>
      <c r="BB34" s="10">
        <f>COUNTIF(BB5:BB30,"בית")</f>
        <v/>
      </c>
      <c r="BC34" s="10">
        <f>COUNTIF(BC5:BC30,"בית")</f>
        <v/>
      </c>
      <c r="BD34" s="10">
        <f>COUNTIF(BD5:BD30,"בית")</f>
        <v/>
      </c>
      <c r="BE34" s="10">
        <f>COUNTIF(BE5:BE30,"בית")</f>
        <v/>
      </c>
      <c r="BF34" s="10">
        <f>COUNTIF(BF5:BF30,"בית")</f>
        <v/>
      </c>
      <c r="BG34" s="10">
        <f>COUNTIF(BG5:BG30,"בית")</f>
        <v/>
      </c>
      <c r="BH34" s="10">
        <f>COUNTIF(BH5:BH30,"בית")</f>
        <v/>
      </c>
      <c r="BI34" s="10">
        <f>COUNTIF(BI5:BI30,"בית")</f>
        <v/>
      </c>
      <c r="BJ34" s="10">
        <f>COUNTIF(BJ5:BJ30,"בית")</f>
        <v/>
      </c>
      <c r="BK34" s="10">
        <f>COUNTIF(BK5:BK30,"בית")</f>
        <v/>
      </c>
      <c r="BL34" s="10">
        <f>COUNTIF(BL5:BL30,"בית")</f>
        <v/>
      </c>
      <c r="BM34" s="10">
        <f>COUNTIF(BM5:BM30,"בית")</f>
        <v/>
      </c>
      <c r="BN34" s="10">
        <f>COUNTIF(BN5:BN30,"בית")</f>
        <v/>
      </c>
      <c r="BO34" s="10">
        <f>COUNTIF(BO5:BO30,"בית")</f>
        <v/>
      </c>
      <c r="BP34" s="10">
        <f>COUNTIF(BP5:BP30,"בית")</f>
        <v/>
      </c>
      <c r="BQ34" s="10">
        <f>COUNTIF(BQ5:BQ30,"בית")</f>
        <v/>
      </c>
      <c r="BR34" s="10">
        <f>COUNTIF(BR5:BR30,"בית")</f>
        <v/>
      </c>
      <c r="BS34" s="10">
        <f>COUNTIF(BS5:BS30,"בית")</f>
        <v/>
      </c>
      <c r="BT34" s="10">
        <f>COUNTIF(BT5:BT30,"בית")</f>
        <v/>
      </c>
      <c r="BU34" s="10">
        <f>COUNTIF(BU5:BU30,"בית")</f>
        <v/>
      </c>
      <c r="BV34" s="10">
        <f>COUNTIF(BV5:BV30,"בית")</f>
        <v/>
      </c>
      <c r="BW34" s="10">
        <f>COUNTIF(BW5:BW30,"בית")</f>
        <v/>
      </c>
      <c r="BX34" s="10">
        <f>COUNTIF(BX5:BX30,"בית")</f>
        <v/>
      </c>
      <c r="BY34" s="10">
        <f>COUNTIF(BY5:BY30,"בית")</f>
        <v/>
      </c>
      <c r="BZ34" s="10">
        <f>COUNTIF(BZ5:BZ30,"בית")</f>
        <v/>
      </c>
      <c r="CA34" s="10">
        <f>COUNTIF(CA5:CA30,"בית")</f>
        <v/>
      </c>
      <c r="CB34" s="10">
        <f>COUNTIF(CB5:CB30,"בית")</f>
        <v/>
      </c>
      <c r="CC34" s="10">
        <f>COUNTIF(CC5:CC30,"בית")</f>
        <v/>
      </c>
      <c r="CD34" s="10">
        <f>COUNTIF(CD5:CD30,"בית")</f>
        <v/>
      </c>
      <c r="CE34" s="10">
        <f>COUNTIF(CE5:CE30,"בית")</f>
        <v/>
      </c>
      <c r="CF34" s="10">
        <f>COUNTIF(CF5:CF30,"בית")</f>
        <v/>
      </c>
      <c r="CG34" s="10">
        <f>COUNTIF(CG5:CG30,"בית")</f>
        <v/>
      </c>
      <c r="CH34" s="10">
        <f>COUNTIF(CH5:CH30,"בית")</f>
        <v/>
      </c>
      <c r="CI34" s="10">
        <f>COUNTIF(CI5:CI30,"בית")</f>
        <v/>
      </c>
      <c r="CJ34" s="10">
        <f>COUNTIF(CJ5:CJ30,"בית")</f>
        <v/>
      </c>
      <c r="CK34" s="10">
        <f>COUNTIF(CK5:CK30,"בית")</f>
        <v/>
      </c>
      <c r="CL34" s="10">
        <f>COUNTIF(CL5:CL30,"בית")</f>
        <v/>
      </c>
      <c r="CM34" s="10">
        <f>COUNTIF(CM5:CM30,"בית")</f>
        <v/>
      </c>
      <c r="CN34" s="10">
        <f>COUNTIF(CN5:CN30,"בית")</f>
        <v/>
      </c>
      <c r="CO34" s="10">
        <f>COUNTIF(CO5:CO30,"בית")</f>
        <v/>
      </c>
      <c r="CP34" s="10">
        <f>COUNTIF(CP5:CP30,"בית")</f>
        <v/>
      </c>
      <c r="CQ34" s="10">
        <f>COUNTIF(CQ5:CQ30,"בית")</f>
        <v/>
      </c>
      <c r="CR34" s="10">
        <f>COUNTIF(CR5:CR30,"בית")</f>
        <v/>
      </c>
      <c r="CS34" s="10">
        <f>COUNTIF(CS5:CS30,"בית")</f>
        <v/>
      </c>
      <c r="CT34" s="10">
        <f>COUNTIF(CT5:CT30,"בית")</f>
        <v/>
      </c>
      <c r="CU34" s="10">
        <f>COUNTIF(CU5:CU30,"בית")</f>
        <v/>
      </c>
      <c r="CV34" s="10">
        <f>COUNTIF(CV5:CV30,"בית")</f>
        <v/>
      </c>
      <c r="CW34" s="10">
        <f>COUNTIF(CW5:CW30,"בית")</f>
        <v/>
      </c>
      <c r="CX34" s="10">
        <f>COUNTIF(CX5:CX30,"בית")</f>
        <v/>
      </c>
      <c r="CY34" s="10">
        <f>COUNTIF(CY5:CY30,"בית")</f>
        <v/>
      </c>
      <c r="CZ34" s="10">
        <f>COUNTIF(CZ5:CZ30,"בית")</f>
        <v/>
      </c>
      <c r="DA34" s="10">
        <f>COUNTIF(DA5:DA30,"בית")</f>
        <v/>
      </c>
    </row>
    <row r="35">
      <c r="A35" s="31" t="inlineStr">
        <is>
          <t>סה"כ לא בבסיס</t>
        </is>
      </c>
      <c r="D35" s="10">
        <f>COUNTA(D5:D30)-COUNTIF(D5:D30,"בסיס")</f>
        <v/>
      </c>
      <c r="E35" s="10">
        <f>COUNTA(E5:E30)-COUNTIF(E5:E30,"בסיס")</f>
        <v/>
      </c>
      <c r="F35" s="10">
        <f>COUNTA(F5:F30)-COUNTIF(F5:F30,"בסיס")</f>
        <v/>
      </c>
      <c r="G35" s="10">
        <f>COUNTA(G5:G30)-COUNTIF(G5:G30,"בסיס")</f>
        <v/>
      </c>
      <c r="H35" s="10">
        <f>COUNTA(H5:H30)-COUNTIF(H5:H30,"בסיס")</f>
        <v/>
      </c>
      <c r="I35" s="10">
        <f>COUNTA(I5:I30)-COUNTIF(I5:I30,"בסיס")</f>
        <v/>
      </c>
      <c r="J35" s="10">
        <f>COUNTA(J5:J30)-COUNTIF(J5:J30,"בסיס")</f>
        <v/>
      </c>
      <c r="K35" s="10">
        <f>COUNTA(K5:K30)-COUNTIF(K5:K30,"בסיס")</f>
        <v/>
      </c>
      <c r="L35" s="10">
        <f>COUNTA(L5:L30)-COUNTIF(L5:L30,"בסיס")</f>
        <v/>
      </c>
      <c r="M35" s="10">
        <f>COUNTA(M5:M30)-COUNTIF(M5:M30,"בסיס")</f>
        <v/>
      </c>
      <c r="N35" s="10">
        <f>COUNTA(N5:N30)-COUNTIF(N5:N30,"בסיס")</f>
        <v/>
      </c>
      <c r="O35" s="10">
        <f>COUNTA(O5:O30)-COUNTIF(O5:O30,"בסיס")</f>
        <v/>
      </c>
      <c r="P35" s="10">
        <f>COUNTA(P5:P30)-COUNTIF(P5:P30,"בסיס")</f>
        <v/>
      </c>
      <c r="Q35" s="10">
        <f>COUNTA(Q5:Q30)-COUNTIF(Q5:Q30,"בסיס")</f>
        <v/>
      </c>
      <c r="R35" s="10">
        <f>COUNTA(R5:R30)-COUNTIF(R5:R30,"בסיס")</f>
        <v/>
      </c>
      <c r="S35" s="10">
        <f>COUNTA(S5:S30)-COUNTIF(S5:S30,"בסיס")</f>
        <v/>
      </c>
      <c r="T35" s="10">
        <f>COUNTA(T5:T30)-COUNTIF(T5:T30,"בסיס")</f>
        <v/>
      </c>
      <c r="U35" s="10">
        <f>COUNTA(U5:U30)-COUNTIF(U5:U30,"בסיס")</f>
        <v/>
      </c>
      <c r="V35" s="10">
        <f>COUNTA(V5:V30)-COUNTIF(V5:V30,"בסיס")</f>
        <v/>
      </c>
      <c r="W35" s="10">
        <f>COUNTA(W5:W30)-COUNTIF(W5:W30,"בסיס")</f>
        <v/>
      </c>
      <c r="X35" s="10">
        <f>COUNTA(X5:X30)-COUNTIF(X5:X30,"בסיס")</f>
        <v/>
      </c>
      <c r="Y35" s="10">
        <f>COUNTA(Y5:Y30)-COUNTIF(Y5:Y30,"בסיס")</f>
        <v/>
      </c>
      <c r="Z35" s="10">
        <f>COUNTA(Z5:Z30)-COUNTIF(Z5:Z30,"בסיס")</f>
        <v/>
      </c>
      <c r="AA35" s="10">
        <f>COUNTA(AA5:AA30)-COUNTIF(AA5:AA30,"בסיס")</f>
        <v/>
      </c>
      <c r="AB35" s="10">
        <f>COUNTA(AB5:AB30)-COUNTIF(AB5:AB30,"בסיס")</f>
        <v/>
      </c>
      <c r="AC35" s="10">
        <f>COUNTA(AC5:AC30)-COUNTIF(AC5:AC30,"בסיס")</f>
        <v/>
      </c>
      <c r="AD35" s="10">
        <f>COUNTA(AD5:AD30)-COUNTIF(AD5:AD30,"בסיס")</f>
        <v/>
      </c>
      <c r="AE35" s="10">
        <f>COUNTA(AE5:AE30)-COUNTIF(AE5:AE30,"בסיס")</f>
        <v/>
      </c>
      <c r="AF35" s="10">
        <f>COUNTA(AF5:AF30)-COUNTIF(AF5:AF30,"בסיס")</f>
        <v/>
      </c>
      <c r="AG35" s="10">
        <f>COUNTA(AG5:AG30)-COUNTIF(AG5:AG30,"בסיס")</f>
        <v/>
      </c>
      <c r="AH35" s="10">
        <f>COUNTA(AH5:AH30)-COUNTIF(AH5:AH30,"בסיס")</f>
        <v/>
      </c>
      <c r="AI35" s="10">
        <f>COUNTA(AI5:AI30)-COUNTIF(AI5:AI30,"בסיס")</f>
        <v/>
      </c>
      <c r="AJ35" s="10">
        <f>COUNTA(AJ5:AJ30)-COUNTIF(AJ5:AJ30,"בסיס")</f>
        <v/>
      </c>
      <c r="AK35" s="10">
        <f>COUNTA(AK5:AK30)-COUNTIF(AK5:AK30,"בסיס")</f>
        <v/>
      </c>
      <c r="AL35" s="10">
        <f>COUNTA(AL5:AL30)-COUNTIF(AL5:AL30,"בסיס")</f>
        <v/>
      </c>
      <c r="AM35" s="10">
        <f>COUNTA(AM5:AM30)-COUNTIF(AM5:AM30,"בסיס")</f>
        <v/>
      </c>
      <c r="AN35" s="10">
        <f>COUNTA(AN5:AN30)-COUNTIF(AN5:AN30,"בסיס")</f>
        <v/>
      </c>
      <c r="AO35" s="10">
        <f>COUNTA(AO5:AO30)-COUNTIF(AO5:AO30,"בסיס")</f>
        <v/>
      </c>
      <c r="AP35" s="10">
        <f>COUNTA(AP5:AP30)-COUNTIF(AP5:AP30,"בסיס")</f>
        <v/>
      </c>
      <c r="AQ35" s="10">
        <f>COUNTA(AQ5:AQ30)-COUNTIF(AQ5:AQ30,"בסיס")</f>
        <v/>
      </c>
      <c r="AR35" s="10">
        <f>COUNTA(AR5:AR30)-COUNTIF(AR5:AR30,"בסיס")</f>
        <v/>
      </c>
      <c r="AS35" s="10">
        <f>COUNTA(AS5:AS30)-COUNTIF(AS5:AS30,"בסיס")</f>
        <v/>
      </c>
      <c r="AT35" s="10">
        <f>COUNTA(AT5:AT30)-COUNTIF(AT5:AT30,"בסיס")</f>
        <v/>
      </c>
      <c r="AU35" s="10">
        <f>COUNTA(AU5:AU30)-COUNTIF(AU5:AU30,"בסיס")</f>
        <v/>
      </c>
      <c r="AV35" s="10">
        <f>COUNTA(AV5:AV30)-COUNTIF(AV5:AV30,"בסיס")</f>
        <v/>
      </c>
      <c r="AW35" s="10">
        <f>COUNTA(AW5:AW30)-COUNTIF(AW5:AW30,"בסיס")</f>
        <v/>
      </c>
      <c r="AX35" s="10">
        <f>COUNTA(AX5:AX30)-COUNTIF(AX5:AX30,"בסיס")</f>
        <v/>
      </c>
      <c r="AY35" s="10">
        <f>COUNTA(AY5:AY30)-COUNTIF(AY5:AY30,"בסיס")</f>
        <v/>
      </c>
      <c r="AZ35" s="10">
        <f>COUNTA(AZ5:AZ30)-COUNTIF(AZ5:AZ30,"בסיס")</f>
        <v/>
      </c>
      <c r="BA35" s="10">
        <f>COUNTA(BA5:BA30)-COUNTIF(BA5:BA30,"בסיס")</f>
        <v/>
      </c>
      <c r="BB35" s="10">
        <f>COUNTA(BB5:BB30)-COUNTIF(BB5:BB30,"בסיס")</f>
        <v/>
      </c>
      <c r="BC35" s="10">
        <f>COUNTA(BC5:BC30)-COUNTIF(BC5:BC30,"בסיס")</f>
        <v/>
      </c>
      <c r="BD35" s="10">
        <f>COUNTA(BD5:BD30)-COUNTIF(BD5:BD30,"בסיס")</f>
        <v/>
      </c>
      <c r="BE35" s="10">
        <f>COUNTA(BE5:BE30)-COUNTIF(BE5:BE30,"בסיס")</f>
        <v/>
      </c>
      <c r="BF35" s="10">
        <f>COUNTA(BF5:BF30)-COUNTIF(BF5:BF30,"בסיס")</f>
        <v/>
      </c>
      <c r="BG35" s="10">
        <f>COUNTA(BG5:BG30)-COUNTIF(BG5:BG30,"בסיס")</f>
        <v/>
      </c>
      <c r="BH35" s="10">
        <f>COUNTA(BH5:BH30)-COUNTIF(BH5:BH30,"בסיס")</f>
        <v/>
      </c>
      <c r="BI35" s="10">
        <f>COUNTA(BI5:BI30)-COUNTIF(BI5:BI30,"בסיס")</f>
        <v/>
      </c>
      <c r="BJ35" s="10">
        <f>COUNTA(BJ5:BJ30)-COUNTIF(BJ5:BJ30,"בסיס")</f>
        <v/>
      </c>
      <c r="BK35" s="10">
        <f>COUNTA(BK5:BK30)-COUNTIF(BK5:BK30,"בסיס")</f>
        <v/>
      </c>
      <c r="BL35" s="10">
        <f>COUNTA(BL5:BL30)-COUNTIF(BL5:BL30,"בסיס")</f>
        <v/>
      </c>
      <c r="BM35" s="10">
        <f>COUNTA(BM5:BM30)-COUNTIF(BM5:BM30,"בסיס")</f>
        <v/>
      </c>
      <c r="BN35" s="10">
        <f>COUNTA(BN5:BN30)-COUNTIF(BN5:BN30,"בסיס")</f>
        <v/>
      </c>
      <c r="BO35" s="10">
        <f>COUNTA(BO5:BO30)-COUNTIF(BO5:BO30,"בסיס")</f>
        <v/>
      </c>
      <c r="BP35" s="10">
        <f>COUNTA(BP5:BP30)-COUNTIF(BP5:BP30,"בסיס")</f>
        <v/>
      </c>
      <c r="BQ35" s="10">
        <f>COUNTA(BQ5:BQ30)-COUNTIF(BQ5:BQ30,"בסיס")</f>
        <v/>
      </c>
      <c r="BR35" s="10">
        <f>COUNTA(BR5:BR30)-COUNTIF(BR5:BR30,"בסיס")</f>
        <v/>
      </c>
      <c r="BS35" s="10">
        <f>COUNTA(BS5:BS30)-COUNTIF(BS5:BS30,"בסיס")</f>
        <v/>
      </c>
      <c r="BT35" s="10">
        <f>COUNTA(BT5:BT30)-COUNTIF(BT5:BT30,"בסיס")</f>
        <v/>
      </c>
      <c r="BU35" s="10">
        <f>COUNTA(BU5:BU30)-COUNTIF(BU5:BU30,"בסיס")</f>
        <v/>
      </c>
      <c r="BV35" s="10">
        <f>COUNTA(BV5:BV30)-COUNTIF(BV5:BV30,"בסיס")</f>
        <v/>
      </c>
      <c r="BW35" s="10">
        <f>COUNTA(BW5:BW30)-COUNTIF(BW5:BW30,"בסיס")</f>
        <v/>
      </c>
      <c r="BX35" s="10">
        <f>COUNTA(BX5:BX30)-COUNTIF(BX5:BX30,"בסיס")</f>
        <v/>
      </c>
      <c r="BY35" s="10">
        <f>COUNTA(BY5:BY30)-COUNTIF(BY5:BY30,"בסיס")</f>
        <v/>
      </c>
      <c r="BZ35" s="10">
        <f>COUNTA(BZ5:BZ30)-COUNTIF(BZ5:BZ30,"בסיס")</f>
        <v/>
      </c>
      <c r="CA35" s="10">
        <f>COUNTA(CA5:CA30)-COUNTIF(CA5:CA30,"בסיס")</f>
        <v/>
      </c>
      <c r="CB35" s="10">
        <f>COUNTA(CB5:CB30)-COUNTIF(CB5:CB30,"בסיס")</f>
        <v/>
      </c>
      <c r="CC35" s="10">
        <f>COUNTA(CC5:CC30)-COUNTIF(CC5:CC30,"בסיס")</f>
        <v/>
      </c>
      <c r="CD35" s="10">
        <f>COUNTA(CD5:CD30)-COUNTIF(CD5:CD30,"בסיס")</f>
        <v/>
      </c>
      <c r="CE35" s="10">
        <f>COUNTA(CE5:CE30)-COUNTIF(CE5:CE30,"בסיס")</f>
        <v/>
      </c>
      <c r="CF35" s="10">
        <f>COUNTA(CF5:CF30)-COUNTIF(CF5:CF30,"בסיס")</f>
        <v/>
      </c>
      <c r="CG35" s="10">
        <f>COUNTA(CG5:CG30)-COUNTIF(CG5:CG30,"בסיס")</f>
        <v/>
      </c>
      <c r="CH35" s="10">
        <f>COUNTA(CH5:CH30)-COUNTIF(CH5:CH30,"בסיס")</f>
        <v/>
      </c>
      <c r="CI35" s="10">
        <f>COUNTA(CI5:CI30)-COUNTIF(CI5:CI30,"בסיס")</f>
        <v/>
      </c>
      <c r="CJ35" s="10">
        <f>COUNTA(CJ5:CJ30)-COUNTIF(CJ5:CJ30,"בסיס")</f>
        <v/>
      </c>
      <c r="CK35" s="10">
        <f>COUNTA(CK5:CK30)-COUNTIF(CK5:CK30,"בסיס")</f>
        <v/>
      </c>
      <c r="CL35" s="10">
        <f>COUNTA(CL5:CL30)-COUNTIF(CL5:CL30,"בסיס")</f>
        <v/>
      </c>
      <c r="CM35" s="10">
        <f>COUNTA(CM5:CM30)-COUNTIF(CM5:CM30,"בסיס")</f>
        <v/>
      </c>
      <c r="CN35" s="10">
        <f>COUNTA(CN5:CN30)-COUNTIF(CN5:CN30,"בסיס")</f>
        <v/>
      </c>
      <c r="CO35" s="10">
        <f>COUNTA(CO5:CO30)-COUNTIF(CO5:CO30,"בסיס")</f>
        <v/>
      </c>
      <c r="CP35" s="10">
        <f>COUNTA(CP5:CP30)-COUNTIF(CP5:CP30,"בסיס")</f>
        <v/>
      </c>
      <c r="CQ35" s="10">
        <f>COUNTA(CQ5:CQ30)-COUNTIF(CQ5:CQ30,"בסיס")</f>
        <v/>
      </c>
      <c r="CR35" s="10">
        <f>COUNTA(CR5:CR30)-COUNTIF(CR5:CR30,"בסיס")</f>
        <v/>
      </c>
      <c r="CS35" s="10">
        <f>COUNTA(CS5:CS30)-COUNTIF(CS5:CS30,"בסיס")</f>
        <v/>
      </c>
      <c r="CT35" s="10">
        <f>COUNTA(CT5:CT30)-COUNTIF(CT5:CT30,"בסיס")</f>
        <v/>
      </c>
      <c r="CU35" s="10">
        <f>COUNTA(CU5:CU30)-COUNTIF(CU5:CU30,"בסיס")</f>
        <v/>
      </c>
      <c r="CV35" s="10">
        <f>COUNTA(CV5:CV30)-COUNTIF(CV5:CV30,"בסיס")</f>
        <v/>
      </c>
      <c r="CW35" s="10">
        <f>COUNTA(CW5:CW30)-COUNTIF(CW5:CW30,"בסיס")</f>
        <v/>
      </c>
      <c r="CX35" s="10">
        <f>COUNTA(CX5:CX30)-COUNTIF(CX5:CX30,"בסיס")</f>
        <v/>
      </c>
      <c r="CY35" s="10">
        <f>COUNTA(CY5:CY30)-COUNTIF(CY5:CY30,"בסיס")</f>
        <v/>
      </c>
      <c r="CZ35" s="10">
        <f>COUNTA(CZ5:CZ30)-COUNTIF(CZ5:CZ30,"בסיס")</f>
        <v/>
      </c>
      <c r="DA35" s="10">
        <f>COUNTA(DA5:DA30)-COUNTIF(DA5:DA30,"בסיס")</f>
        <v/>
      </c>
    </row>
    <row r="36" hidden="1" s="30">
      <c r="A36" t="inlineStr">
        <is>
          <t>[דגל שבת]</t>
        </is>
      </c>
      <c r="D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1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1</v>
      </c>
      <c r="CX36" t="n">
        <v>0</v>
      </c>
      <c r="CY36" t="n">
        <v>0</v>
      </c>
      <c r="CZ36" t="n">
        <v>0</v>
      </c>
      <c r="DA36" t="n">
        <v>0</v>
      </c>
    </row>
    <row r="37" hidden="1" s="30">
      <c r="A37" t="inlineStr">
        <is>
          <t>[דגל חג]</t>
        </is>
      </c>
      <c r="D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1</v>
      </c>
      <c r="CS37" t="n">
        <v>0</v>
      </c>
      <c r="CT37" t="n">
        <v>0</v>
      </c>
      <c r="CU37" t="n">
        <v>0</v>
      </c>
      <c r="CV37" t="n">
        <v>1</v>
      </c>
      <c r="CW37" t="n">
        <v>1</v>
      </c>
      <c r="CX37" t="n">
        <v>0</v>
      </c>
      <c r="CY37" t="n">
        <v>0</v>
      </c>
      <c r="CZ37" t="n">
        <v>0</v>
      </c>
      <c r="DA37" t="n">
        <v>0</v>
      </c>
    </row>
    <row r="38">
      <c r="A38" s="11" t="inlineStr">
        <is>
          <t>הגדרות מצבה (ניתן לעריכה):</t>
        </is>
      </c>
    </row>
    <row r="39">
      <c r="A39" s="12" t="inlineStr">
        <is>
          <t>מינימום בבסיס</t>
        </is>
      </c>
      <c r="B39" s="3" t="n">
        <v>12</v>
      </c>
    </row>
    <row r="40">
      <c r="A40" s="12" t="inlineStr">
        <is>
          <t>מינימום מחתים</t>
        </is>
      </c>
      <c r="B40" s="3" t="n">
        <v>2</v>
      </c>
    </row>
    <row r="41">
      <c r="A41" s="12" t="inlineStr">
        <is>
          <t>מינימום לוגיסטיקה</t>
        </is>
      </c>
      <c r="B41" s="3" t="n">
        <v>2</v>
      </c>
    </row>
    <row r="43">
      <c r="A43" s="37" t="inlineStr">
        <is>
          <t>פילוח 'לא בבסיס' לפי סיבה — לכל יום</t>
        </is>
      </c>
    </row>
    <row r="44">
      <c r="A44" s="38" t="inlineStr">
        <is>
          <t>חופשה</t>
        </is>
      </c>
      <c r="D44" s="39">
        <f>COUNTIF(D5:D30,"חופשה")</f>
        <v/>
      </c>
      <c r="E44" s="39">
        <f>COUNTIF(E5:E30,"חופשה")</f>
        <v/>
      </c>
      <c r="F44" s="39">
        <f>COUNTIF(F5:F30,"חופשה")</f>
        <v/>
      </c>
      <c r="G44" s="39">
        <f>COUNTIF(G5:G30,"חופשה")</f>
        <v/>
      </c>
      <c r="H44" s="39">
        <f>COUNTIF(H5:H30,"חופשה")</f>
        <v/>
      </c>
      <c r="I44" s="39">
        <f>COUNTIF(I5:I30,"חופשה")</f>
        <v/>
      </c>
      <c r="J44" s="39">
        <f>COUNTIF(J5:J30,"חופשה")</f>
        <v/>
      </c>
      <c r="K44" s="39">
        <f>COUNTIF(K5:K30,"חופשה")</f>
        <v/>
      </c>
      <c r="L44" s="39">
        <f>COUNTIF(L5:L30,"חופשה")</f>
        <v/>
      </c>
      <c r="M44" s="39">
        <f>COUNTIF(M5:M30,"חופשה")</f>
        <v/>
      </c>
      <c r="N44" s="39">
        <f>COUNTIF(N5:N30,"חופשה")</f>
        <v/>
      </c>
      <c r="O44" s="39">
        <f>COUNTIF(O5:O30,"חופשה")</f>
        <v/>
      </c>
      <c r="P44" s="39">
        <f>COUNTIF(P5:P30,"חופשה")</f>
        <v/>
      </c>
      <c r="Q44" s="39">
        <f>COUNTIF(Q5:Q30,"חופשה")</f>
        <v/>
      </c>
      <c r="R44" s="39">
        <f>COUNTIF(R5:R30,"חופשה")</f>
        <v/>
      </c>
      <c r="S44" s="39">
        <f>COUNTIF(S5:S30,"חופשה")</f>
        <v/>
      </c>
      <c r="T44" s="39">
        <f>COUNTIF(T5:T30,"חופשה")</f>
        <v/>
      </c>
      <c r="U44" s="39">
        <f>COUNTIF(U5:U30,"חופשה")</f>
        <v/>
      </c>
      <c r="V44" s="39">
        <f>COUNTIF(V5:V30,"חופשה")</f>
        <v/>
      </c>
      <c r="W44" s="39">
        <f>COUNTIF(W5:W30,"חופשה")</f>
        <v/>
      </c>
      <c r="X44" s="39">
        <f>COUNTIF(X5:X30,"חופשה")</f>
        <v/>
      </c>
      <c r="Y44" s="39">
        <f>COUNTIF(Y5:Y30,"חופשה")</f>
        <v/>
      </c>
      <c r="Z44" s="39">
        <f>COUNTIF(Z5:Z30,"חופשה")</f>
        <v/>
      </c>
      <c r="AA44" s="39">
        <f>COUNTIF(AA5:AA30,"חופשה")</f>
        <v/>
      </c>
      <c r="AB44" s="39">
        <f>COUNTIF(AB5:AB30,"חופשה")</f>
        <v/>
      </c>
      <c r="AC44" s="39">
        <f>COUNTIF(AC5:AC30,"חופשה")</f>
        <v/>
      </c>
      <c r="AD44" s="39">
        <f>COUNTIF(AD5:AD30,"חופשה")</f>
        <v/>
      </c>
      <c r="AE44" s="39">
        <f>COUNTIF(AE5:AE30,"חופשה")</f>
        <v/>
      </c>
      <c r="AF44" s="39">
        <f>COUNTIF(AF5:AF30,"חופשה")</f>
        <v/>
      </c>
      <c r="AG44" s="39">
        <f>COUNTIF(AG5:AG30,"חופשה")</f>
        <v/>
      </c>
      <c r="AH44" s="39">
        <f>COUNTIF(AH5:AH30,"חופשה")</f>
        <v/>
      </c>
      <c r="AI44" s="39">
        <f>COUNTIF(AI5:AI30,"חופשה")</f>
        <v/>
      </c>
      <c r="AJ44" s="39">
        <f>COUNTIF(AJ5:AJ30,"חופשה")</f>
        <v/>
      </c>
      <c r="AK44" s="39">
        <f>COUNTIF(AK5:AK30,"חופשה")</f>
        <v/>
      </c>
      <c r="AL44" s="39">
        <f>COUNTIF(AL5:AL30,"חופשה")</f>
        <v/>
      </c>
      <c r="AM44" s="39">
        <f>COUNTIF(AM5:AM30,"חופשה")</f>
        <v/>
      </c>
      <c r="AN44" s="39">
        <f>COUNTIF(AN5:AN30,"חופשה")</f>
        <v/>
      </c>
      <c r="AO44" s="39">
        <f>COUNTIF(AO5:AO30,"חופשה")</f>
        <v/>
      </c>
      <c r="AP44" s="39">
        <f>COUNTIF(AP5:AP30,"חופשה")</f>
        <v/>
      </c>
      <c r="AQ44" s="39">
        <f>COUNTIF(AQ5:AQ30,"חופשה")</f>
        <v/>
      </c>
      <c r="AR44" s="39">
        <f>COUNTIF(AR5:AR30,"חופשה")</f>
        <v/>
      </c>
      <c r="AS44" s="39">
        <f>COUNTIF(AS5:AS30,"חופשה")</f>
        <v/>
      </c>
      <c r="AT44" s="39">
        <f>COUNTIF(AT5:AT30,"חופשה")</f>
        <v/>
      </c>
      <c r="AU44" s="39">
        <f>COUNTIF(AU5:AU30,"חופשה")</f>
        <v/>
      </c>
      <c r="AV44" s="39">
        <f>COUNTIF(AV5:AV30,"חופשה")</f>
        <v/>
      </c>
      <c r="AW44" s="39">
        <f>COUNTIF(AW5:AW30,"חופשה")</f>
        <v/>
      </c>
      <c r="AX44" s="39">
        <f>COUNTIF(AX5:AX30,"חופשה")</f>
        <v/>
      </c>
      <c r="AY44" s="39">
        <f>COUNTIF(AY5:AY30,"חופשה")</f>
        <v/>
      </c>
      <c r="AZ44" s="39">
        <f>COUNTIF(AZ5:AZ30,"חופשה")</f>
        <v/>
      </c>
      <c r="BA44" s="39">
        <f>COUNTIF(BA5:BA30,"חופשה")</f>
        <v/>
      </c>
      <c r="BB44" s="39">
        <f>COUNTIF(BB5:BB30,"חופשה")</f>
        <v/>
      </c>
      <c r="BC44" s="39">
        <f>COUNTIF(BC5:BC30,"חופשה")</f>
        <v/>
      </c>
      <c r="BD44" s="39">
        <f>COUNTIF(BD5:BD30,"חופשה")</f>
        <v/>
      </c>
      <c r="BE44" s="39">
        <f>COUNTIF(BE5:BE30,"חופשה")</f>
        <v/>
      </c>
      <c r="BF44" s="39">
        <f>COUNTIF(BF5:BF30,"חופשה")</f>
        <v/>
      </c>
      <c r="BG44" s="39">
        <f>COUNTIF(BG5:BG30,"חופשה")</f>
        <v/>
      </c>
      <c r="BH44" s="39">
        <f>COUNTIF(BH5:BH30,"חופשה")</f>
        <v/>
      </c>
      <c r="BI44" s="39">
        <f>COUNTIF(BI5:BI30,"חופשה")</f>
        <v/>
      </c>
      <c r="BJ44" s="39">
        <f>COUNTIF(BJ5:BJ30,"חופשה")</f>
        <v/>
      </c>
      <c r="BK44" s="39">
        <f>COUNTIF(BK5:BK30,"חופשה")</f>
        <v/>
      </c>
      <c r="BL44" s="39">
        <f>COUNTIF(BL5:BL30,"חופשה")</f>
        <v/>
      </c>
      <c r="BM44" s="39">
        <f>COUNTIF(BM5:BM30,"חופשה")</f>
        <v/>
      </c>
      <c r="BN44" s="39">
        <f>COUNTIF(BN5:BN30,"חופשה")</f>
        <v/>
      </c>
      <c r="BO44" s="39">
        <f>COUNTIF(BO5:BO30,"חופשה")</f>
        <v/>
      </c>
      <c r="BP44" s="39">
        <f>COUNTIF(BP5:BP30,"חופשה")</f>
        <v/>
      </c>
      <c r="BQ44" s="39">
        <f>COUNTIF(BQ5:BQ30,"חופשה")</f>
        <v/>
      </c>
      <c r="BR44" s="39">
        <f>COUNTIF(BR5:BR30,"חופשה")</f>
        <v/>
      </c>
      <c r="BS44" s="39">
        <f>COUNTIF(BS5:BS30,"חופשה")</f>
        <v/>
      </c>
      <c r="BT44" s="39">
        <f>COUNTIF(BT5:BT30,"חופשה")</f>
        <v/>
      </c>
      <c r="BU44" s="39">
        <f>COUNTIF(BU5:BU30,"חופשה")</f>
        <v/>
      </c>
      <c r="BV44" s="39">
        <f>COUNTIF(BV5:BV30,"חופשה")</f>
        <v/>
      </c>
      <c r="BW44" s="39">
        <f>COUNTIF(BW5:BW30,"חופשה")</f>
        <v/>
      </c>
      <c r="BX44" s="39">
        <f>COUNTIF(BX5:BX30,"חופשה")</f>
        <v/>
      </c>
      <c r="BY44" s="39">
        <f>COUNTIF(BY5:BY30,"חופשה")</f>
        <v/>
      </c>
      <c r="BZ44" s="39">
        <f>COUNTIF(BZ5:BZ30,"חופשה")</f>
        <v/>
      </c>
      <c r="CA44" s="39">
        <f>COUNTIF(CA5:CA30,"חופשה")</f>
        <v/>
      </c>
      <c r="CB44" s="39">
        <f>COUNTIF(CB5:CB30,"חופשה")</f>
        <v/>
      </c>
      <c r="CC44" s="39">
        <f>COUNTIF(CC5:CC30,"חופשה")</f>
        <v/>
      </c>
      <c r="CD44" s="39">
        <f>COUNTIF(CD5:CD30,"חופשה")</f>
        <v/>
      </c>
      <c r="CE44" s="39">
        <f>COUNTIF(CE5:CE30,"חופשה")</f>
        <v/>
      </c>
      <c r="CF44" s="39">
        <f>COUNTIF(CF5:CF30,"חופשה")</f>
        <v/>
      </c>
      <c r="CG44" s="39">
        <f>COUNTIF(CG5:CG30,"חופשה")</f>
        <v/>
      </c>
      <c r="CH44" s="39">
        <f>COUNTIF(CH5:CH30,"חופשה")</f>
        <v/>
      </c>
      <c r="CI44" s="39">
        <f>COUNTIF(CI5:CI30,"חופשה")</f>
        <v/>
      </c>
      <c r="CJ44" s="39">
        <f>COUNTIF(CJ5:CJ30,"חופשה")</f>
        <v/>
      </c>
      <c r="CK44" s="39">
        <f>COUNTIF(CK5:CK30,"חופשה")</f>
        <v/>
      </c>
      <c r="CL44" s="39">
        <f>COUNTIF(CL5:CL30,"חופשה")</f>
        <v/>
      </c>
      <c r="CM44" s="39">
        <f>COUNTIF(CM5:CM30,"חופשה")</f>
        <v/>
      </c>
      <c r="CN44" s="39">
        <f>COUNTIF(CN5:CN30,"חופשה")</f>
        <v/>
      </c>
      <c r="CO44" s="39">
        <f>COUNTIF(CO5:CO30,"חופשה")</f>
        <v/>
      </c>
      <c r="CP44" s="39">
        <f>COUNTIF(CP5:CP30,"חופשה")</f>
        <v/>
      </c>
      <c r="CQ44" s="39">
        <f>COUNTIF(CQ5:CQ30,"חופשה")</f>
        <v/>
      </c>
      <c r="CR44" s="39">
        <f>COUNTIF(CR5:CR30,"חופשה")</f>
        <v/>
      </c>
      <c r="CS44" s="39">
        <f>COUNTIF(CS5:CS30,"חופשה")</f>
        <v/>
      </c>
      <c r="CT44" s="39">
        <f>COUNTIF(CT5:CT30,"חופשה")</f>
        <v/>
      </c>
      <c r="CU44" s="39">
        <f>COUNTIF(CU5:CU30,"חופשה")</f>
        <v/>
      </c>
      <c r="CV44" s="39">
        <f>COUNTIF(CV5:CV30,"חופשה")</f>
        <v/>
      </c>
      <c r="CW44" s="39">
        <f>COUNTIF(CW5:CW30,"חופשה")</f>
        <v/>
      </c>
      <c r="CX44" s="39">
        <f>COUNTIF(CX5:CX30,"חופשה")</f>
        <v/>
      </c>
      <c r="CY44" s="39">
        <f>COUNTIF(CY5:CY30,"חופשה")</f>
        <v/>
      </c>
      <c r="CZ44" s="39">
        <f>COUNTIF(CZ5:CZ30,"חופשה")</f>
        <v/>
      </c>
      <c r="DA44" s="39">
        <f>COUNTIF(DA5:DA30,"חופשה")</f>
        <v/>
      </c>
    </row>
    <row r="45">
      <c r="A45" s="38" t="inlineStr">
        <is>
          <t>ת״ש</t>
        </is>
      </c>
      <c r="D45" s="39">
        <f>COUNTIF(D5:D30,"ת״ש")</f>
        <v/>
      </c>
      <c r="E45" s="39">
        <f>COUNTIF(E5:E30,"ת״ש")</f>
        <v/>
      </c>
      <c r="F45" s="39">
        <f>COUNTIF(F5:F30,"ת״ש")</f>
        <v/>
      </c>
      <c r="G45" s="39">
        <f>COUNTIF(G5:G30,"ת״ש")</f>
        <v/>
      </c>
      <c r="H45" s="39">
        <f>COUNTIF(H5:H30,"ת״ש")</f>
        <v/>
      </c>
      <c r="I45" s="39">
        <f>COUNTIF(I5:I30,"ת״ש")</f>
        <v/>
      </c>
      <c r="J45" s="39">
        <f>COUNTIF(J5:J30,"ת״ש")</f>
        <v/>
      </c>
      <c r="K45" s="39">
        <f>COUNTIF(K5:K30,"ת״ש")</f>
        <v/>
      </c>
      <c r="L45" s="39">
        <f>COUNTIF(L5:L30,"ת״ש")</f>
        <v/>
      </c>
      <c r="M45" s="39">
        <f>COUNTIF(M5:M30,"ת״ש")</f>
        <v/>
      </c>
      <c r="N45" s="39">
        <f>COUNTIF(N5:N30,"ת״ש")</f>
        <v/>
      </c>
      <c r="O45" s="39">
        <f>COUNTIF(O5:O30,"ת״ש")</f>
        <v/>
      </c>
      <c r="P45" s="39">
        <f>COUNTIF(P5:P30,"ת״ש")</f>
        <v/>
      </c>
      <c r="Q45" s="39">
        <f>COUNTIF(Q5:Q30,"ת״ש")</f>
        <v/>
      </c>
      <c r="R45" s="39">
        <f>COUNTIF(R5:R30,"ת״ש")</f>
        <v/>
      </c>
      <c r="S45" s="39">
        <f>COUNTIF(S5:S30,"ת״ש")</f>
        <v/>
      </c>
      <c r="T45" s="39">
        <f>COUNTIF(T5:T30,"ת״ש")</f>
        <v/>
      </c>
      <c r="U45" s="39">
        <f>COUNTIF(U5:U30,"ת״ש")</f>
        <v/>
      </c>
      <c r="V45" s="39">
        <f>COUNTIF(V5:V30,"ת״ש")</f>
        <v/>
      </c>
      <c r="W45" s="39">
        <f>COUNTIF(W5:W30,"ת״ש")</f>
        <v/>
      </c>
      <c r="X45" s="39">
        <f>COUNTIF(X5:X30,"ת״ש")</f>
        <v/>
      </c>
      <c r="Y45" s="39">
        <f>COUNTIF(Y5:Y30,"ת״ש")</f>
        <v/>
      </c>
      <c r="Z45" s="39">
        <f>COUNTIF(Z5:Z30,"ת״ש")</f>
        <v/>
      </c>
      <c r="AA45" s="39">
        <f>COUNTIF(AA5:AA30,"ת״ש")</f>
        <v/>
      </c>
      <c r="AB45" s="39">
        <f>COUNTIF(AB5:AB30,"ת״ש")</f>
        <v/>
      </c>
      <c r="AC45" s="39">
        <f>COUNTIF(AC5:AC30,"ת״ש")</f>
        <v/>
      </c>
      <c r="AD45" s="39">
        <f>COUNTIF(AD5:AD30,"ת״ש")</f>
        <v/>
      </c>
      <c r="AE45" s="39">
        <f>COUNTIF(AE5:AE30,"ת״ש")</f>
        <v/>
      </c>
      <c r="AF45" s="39">
        <f>COUNTIF(AF5:AF30,"ת״ש")</f>
        <v/>
      </c>
      <c r="AG45" s="39">
        <f>COUNTIF(AG5:AG30,"ת״ש")</f>
        <v/>
      </c>
      <c r="AH45" s="39">
        <f>COUNTIF(AH5:AH30,"ת״ש")</f>
        <v/>
      </c>
      <c r="AI45" s="39">
        <f>COUNTIF(AI5:AI30,"ת״ש")</f>
        <v/>
      </c>
      <c r="AJ45" s="39">
        <f>COUNTIF(AJ5:AJ30,"ת״ש")</f>
        <v/>
      </c>
      <c r="AK45" s="39">
        <f>COUNTIF(AK5:AK30,"ת״ש")</f>
        <v/>
      </c>
      <c r="AL45" s="39">
        <f>COUNTIF(AL5:AL30,"ת״ש")</f>
        <v/>
      </c>
      <c r="AM45" s="39">
        <f>COUNTIF(AM5:AM30,"ת״ש")</f>
        <v/>
      </c>
      <c r="AN45" s="39">
        <f>COUNTIF(AN5:AN30,"ת״ש")</f>
        <v/>
      </c>
      <c r="AO45" s="39">
        <f>COUNTIF(AO5:AO30,"ת״ש")</f>
        <v/>
      </c>
      <c r="AP45" s="39">
        <f>COUNTIF(AP5:AP30,"ת״ש")</f>
        <v/>
      </c>
      <c r="AQ45" s="39">
        <f>COUNTIF(AQ5:AQ30,"ת״ש")</f>
        <v/>
      </c>
      <c r="AR45" s="39">
        <f>COUNTIF(AR5:AR30,"ת״ש")</f>
        <v/>
      </c>
      <c r="AS45" s="39">
        <f>COUNTIF(AS5:AS30,"ת״ש")</f>
        <v/>
      </c>
      <c r="AT45" s="39">
        <f>COUNTIF(AT5:AT30,"ת״ש")</f>
        <v/>
      </c>
      <c r="AU45" s="39">
        <f>COUNTIF(AU5:AU30,"ת״ש")</f>
        <v/>
      </c>
      <c r="AV45" s="39">
        <f>COUNTIF(AV5:AV30,"ת״ש")</f>
        <v/>
      </c>
      <c r="AW45" s="39">
        <f>COUNTIF(AW5:AW30,"ת״ש")</f>
        <v/>
      </c>
      <c r="AX45" s="39">
        <f>COUNTIF(AX5:AX30,"ת״ש")</f>
        <v/>
      </c>
      <c r="AY45" s="39">
        <f>COUNTIF(AY5:AY30,"ת״ש")</f>
        <v/>
      </c>
      <c r="AZ45" s="39">
        <f>COUNTIF(AZ5:AZ30,"ת״ש")</f>
        <v/>
      </c>
      <c r="BA45" s="39">
        <f>COUNTIF(BA5:BA30,"ת״ש")</f>
        <v/>
      </c>
      <c r="BB45" s="39">
        <f>COUNTIF(BB5:BB30,"ת״ש")</f>
        <v/>
      </c>
      <c r="BC45" s="39">
        <f>COUNTIF(BC5:BC30,"ת״ש")</f>
        <v/>
      </c>
      <c r="BD45" s="39">
        <f>COUNTIF(BD5:BD30,"ת״ש")</f>
        <v/>
      </c>
      <c r="BE45" s="39">
        <f>COUNTIF(BE5:BE30,"ת״ש")</f>
        <v/>
      </c>
      <c r="BF45" s="39">
        <f>COUNTIF(BF5:BF30,"ת״ש")</f>
        <v/>
      </c>
      <c r="BG45" s="39">
        <f>COUNTIF(BG5:BG30,"ת״ש")</f>
        <v/>
      </c>
      <c r="BH45" s="39">
        <f>COUNTIF(BH5:BH30,"ת״ש")</f>
        <v/>
      </c>
      <c r="BI45" s="39">
        <f>COUNTIF(BI5:BI30,"ת״ש")</f>
        <v/>
      </c>
      <c r="BJ45" s="39">
        <f>COUNTIF(BJ5:BJ30,"ת״ש")</f>
        <v/>
      </c>
      <c r="BK45" s="39">
        <f>COUNTIF(BK5:BK30,"ת״ש")</f>
        <v/>
      </c>
      <c r="BL45" s="39">
        <f>COUNTIF(BL5:BL30,"ת״ש")</f>
        <v/>
      </c>
      <c r="BM45" s="39">
        <f>COUNTIF(BM5:BM30,"ת״ש")</f>
        <v/>
      </c>
      <c r="BN45" s="39">
        <f>COUNTIF(BN5:BN30,"ת״ש")</f>
        <v/>
      </c>
      <c r="BO45" s="39">
        <f>COUNTIF(BO5:BO30,"ת״ש")</f>
        <v/>
      </c>
      <c r="BP45" s="39">
        <f>COUNTIF(BP5:BP30,"ת״ש")</f>
        <v/>
      </c>
      <c r="BQ45" s="39">
        <f>COUNTIF(BQ5:BQ30,"ת״ש")</f>
        <v/>
      </c>
      <c r="BR45" s="39">
        <f>COUNTIF(BR5:BR30,"ת״ש")</f>
        <v/>
      </c>
      <c r="BS45" s="39">
        <f>COUNTIF(BS5:BS30,"ת״ש")</f>
        <v/>
      </c>
      <c r="BT45" s="39">
        <f>COUNTIF(BT5:BT30,"ת״ש")</f>
        <v/>
      </c>
      <c r="BU45" s="39">
        <f>COUNTIF(BU5:BU30,"ת״ש")</f>
        <v/>
      </c>
      <c r="BV45" s="39">
        <f>COUNTIF(BV5:BV30,"ת״ש")</f>
        <v/>
      </c>
      <c r="BW45" s="39">
        <f>COUNTIF(BW5:BW30,"ת״ש")</f>
        <v/>
      </c>
      <c r="BX45" s="39">
        <f>COUNTIF(BX5:BX30,"ת״ש")</f>
        <v/>
      </c>
      <c r="BY45" s="39">
        <f>COUNTIF(BY5:BY30,"ת״ש")</f>
        <v/>
      </c>
      <c r="BZ45" s="39">
        <f>COUNTIF(BZ5:BZ30,"ת״ש")</f>
        <v/>
      </c>
      <c r="CA45" s="39">
        <f>COUNTIF(CA5:CA30,"ת״ש")</f>
        <v/>
      </c>
      <c r="CB45" s="39">
        <f>COUNTIF(CB5:CB30,"ת״ש")</f>
        <v/>
      </c>
      <c r="CC45" s="39">
        <f>COUNTIF(CC5:CC30,"ת״ש")</f>
        <v/>
      </c>
      <c r="CD45" s="39">
        <f>COUNTIF(CD5:CD30,"ת״ש")</f>
        <v/>
      </c>
      <c r="CE45" s="39">
        <f>COUNTIF(CE5:CE30,"ת״ש")</f>
        <v/>
      </c>
      <c r="CF45" s="39">
        <f>COUNTIF(CF5:CF30,"ת״ש")</f>
        <v/>
      </c>
      <c r="CG45" s="39">
        <f>COUNTIF(CG5:CG30,"ת״ש")</f>
        <v/>
      </c>
      <c r="CH45" s="39">
        <f>COUNTIF(CH5:CH30,"ת״ש")</f>
        <v/>
      </c>
      <c r="CI45" s="39">
        <f>COUNTIF(CI5:CI30,"ת״ש")</f>
        <v/>
      </c>
      <c r="CJ45" s="39">
        <f>COUNTIF(CJ5:CJ30,"ת״ש")</f>
        <v/>
      </c>
      <c r="CK45" s="39">
        <f>COUNTIF(CK5:CK30,"ת״ש")</f>
        <v/>
      </c>
      <c r="CL45" s="39">
        <f>COUNTIF(CL5:CL30,"ת״ש")</f>
        <v/>
      </c>
      <c r="CM45" s="39">
        <f>COUNTIF(CM5:CM30,"ת״ש")</f>
        <v/>
      </c>
      <c r="CN45" s="39">
        <f>COUNTIF(CN5:CN30,"ת״ש")</f>
        <v/>
      </c>
      <c r="CO45" s="39">
        <f>COUNTIF(CO5:CO30,"ת״ש")</f>
        <v/>
      </c>
      <c r="CP45" s="39">
        <f>COUNTIF(CP5:CP30,"ת״ש")</f>
        <v/>
      </c>
      <c r="CQ45" s="39">
        <f>COUNTIF(CQ5:CQ30,"ת״ש")</f>
        <v/>
      </c>
      <c r="CR45" s="39">
        <f>COUNTIF(CR5:CR30,"ת״ש")</f>
        <v/>
      </c>
      <c r="CS45" s="39">
        <f>COUNTIF(CS5:CS30,"ת״ש")</f>
        <v/>
      </c>
      <c r="CT45" s="39">
        <f>COUNTIF(CT5:CT30,"ת״ש")</f>
        <v/>
      </c>
      <c r="CU45" s="39">
        <f>COUNTIF(CU5:CU30,"ת״ש")</f>
        <v/>
      </c>
      <c r="CV45" s="39">
        <f>COUNTIF(CV5:CV30,"ת״ש")</f>
        <v/>
      </c>
      <c r="CW45" s="39">
        <f>COUNTIF(CW5:CW30,"ת״ש")</f>
        <v/>
      </c>
      <c r="CX45" s="39">
        <f>COUNTIF(CX5:CX30,"ת״ש")</f>
        <v/>
      </c>
      <c r="CY45" s="39">
        <f>COUNTIF(CY5:CY30,"ת״ש")</f>
        <v/>
      </c>
      <c r="CZ45" s="39">
        <f>COUNTIF(CZ5:CZ30,"ת״ש")</f>
        <v/>
      </c>
      <c r="DA45" s="39">
        <f>COUNTIF(DA5:DA30,"ת״ש")</f>
        <v/>
      </c>
    </row>
    <row r="46">
      <c r="A46" s="38" t="inlineStr">
        <is>
          <t>קורס</t>
        </is>
      </c>
      <c r="D46" s="39">
        <f>COUNTIF(D5:D30,"קורס")</f>
        <v/>
      </c>
      <c r="E46" s="39">
        <f>COUNTIF(E5:E30,"קורס")</f>
        <v/>
      </c>
      <c r="F46" s="39">
        <f>COUNTIF(F5:F30,"קורס")</f>
        <v/>
      </c>
      <c r="G46" s="39">
        <f>COUNTIF(G5:G30,"קורס")</f>
        <v/>
      </c>
      <c r="H46" s="39">
        <f>COUNTIF(H5:H30,"קורס")</f>
        <v/>
      </c>
      <c r="I46" s="39">
        <f>COUNTIF(I5:I30,"קורס")</f>
        <v/>
      </c>
      <c r="J46" s="39">
        <f>COUNTIF(J5:J30,"קורס")</f>
        <v/>
      </c>
      <c r="K46" s="39">
        <f>COUNTIF(K5:K30,"קורס")</f>
        <v/>
      </c>
      <c r="L46" s="39">
        <f>COUNTIF(L5:L30,"קורס")</f>
        <v/>
      </c>
      <c r="M46" s="39">
        <f>COUNTIF(M5:M30,"קורס")</f>
        <v/>
      </c>
      <c r="N46" s="39">
        <f>COUNTIF(N5:N30,"קורס")</f>
        <v/>
      </c>
      <c r="O46" s="39">
        <f>COUNTIF(O5:O30,"קורס")</f>
        <v/>
      </c>
      <c r="P46" s="39">
        <f>COUNTIF(P5:P30,"קורס")</f>
        <v/>
      </c>
      <c r="Q46" s="39">
        <f>COUNTIF(Q5:Q30,"קורס")</f>
        <v/>
      </c>
      <c r="R46" s="39">
        <f>COUNTIF(R5:R30,"קורס")</f>
        <v/>
      </c>
      <c r="S46" s="39">
        <f>COUNTIF(S5:S30,"קורס")</f>
        <v/>
      </c>
      <c r="T46" s="39">
        <f>COUNTIF(T5:T30,"קורס")</f>
        <v/>
      </c>
      <c r="U46" s="39">
        <f>COUNTIF(U5:U30,"קורס")</f>
        <v/>
      </c>
      <c r="V46" s="39">
        <f>COUNTIF(V5:V30,"קורס")</f>
        <v/>
      </c>
      <c r="W46" s="39">
        <f>COUNTIF(W5:W30,"קורס")</f>
        <v/>
      </c>
      <c r="X46" s="39">
        <f>COUNTIF(X5:X30,"קורס")</f>
        <v/>
      </c>
      <c r="Y46" s="39">
        <f>COUNTIF(Y5:Y30,"קורס")</f>
        <v/>
      </c>
      <c r="Z46" s="39">
        <f>COUNTIF(Z5:Z30,"קורס")</f>
        <v/>
      </c>
      <c r="AA46" s="39">
        <f>COUNTIF(AA5:AA30,"קורס")</f>
        <v/>
      </c>
      <c r="AB46" s="39">
        <f>COUNTIF(AB5:AB30,"קורס")</f>
        <v/>
      </c>
      <c r="AC46" s="39">
        <f>COUNTIF(AC5:AC30,"קורס")</f>
        <v/>
      </c>
      <c r="AD46" s="39">
        <f>COUNTIF(AD5:AD30,"קורס")</f>
        <v/>
      </c>
      <c r="AE46" s="39">
        <f>COUNTIF(AE5:AE30,"קורס")</f>
        <v/>
      </c>
      <c r="AF46" s="39">
        <f>COUNTIF(AF5:AF30,"קורס")</f>
        <v/>
      </c>
      <c r="AG46" s="39">
        <f>COUNTIF(AG5:AG30,"קורס")</f>
        <v/>
      </c>
      <c r="AH46" s="39">
        <f>COUNTIF(AH5:AH30,"קורס")</f>
        <v/>
      </c>
      <c r="AI46" s="39">
        <f>COUNTIF(AI5:AI30,"קורס")</f>
        <v/>
      </c>
      <c r="AJ46" s="39">
        <f>COUNTIF(AJ5:AJ30,"קורס")</f>
        <v/>
      </c>
      <c r="AK46" s="39">
        <f>COUNTIF(AK5:AK30,"קורס")</f>
        <v/>
      </c>
      <c r="AL46" s="39">
        <f>COUNTIF(AL5:AL30,"קורס")</f>
        <v/>
      </c>
      <c r="AM46" s="39">
        <f>COUNTIF(AM5:AM30,"קורס")</f>
        <v/>
      </c>
      <c r="AN46" s="39">
        <f>COUNTIF(AN5:AN30,"קורס")</f>
        <v/>
      </c>
      <c r="AO46" s="39">
        <f>COUNTIF(AO5:AO30,"קורס")</f>
        <v/>
      </c>
      <c r="AP46" s="39">
        <f>COUNTIF(AP5:AP30,"קורס")</f>
        <v/>
      </c>
      <c r="AQ46" s="39">
        <f>COUNTIF(AQ5:AQ30,"קורס")</f>
        <v/>
      </c>
      <c r="AR46" s="39">
        <f>COUNTIF(AR5:AR30,"קורס")</f>
        <v/>
      </c>
      <c r="AS46" s="39">
        <f>COUNTIF(AS5:AS30,"קורס")</f>
        <v/>
      </c>
      <c r="AT46" s="39">
        <f>COUNTIF(AT5:AT30,"קורס")</f>
        <v/>
      </c>
      <c r="AU46" s="39">
        <f>COUNTIF(AU5:AU30,"קורס")</f>
        <v/>
      </c>
      <c r="AV46" s="39">
        <f>COUNTIF(AV5:AV30,"קורס")</f>
        <v/>
      </c>
      <c r="AW46" s="39">
        <f>COUNTIF(AW5:AW30,"קורס")</f>
        <v/>
      </c>
      <c r="AX46" s="39">
        <f>COUNTIF(AX5:AX30,"קורס")</f>
        <v/>
      </c>
      <c r="AY46" s="39">
        <f>COUNTIF(AY5:AY30,"קורס")</f>
        <v/>
      </c>
      <c r="AZ46" s="39">
        <f>COUNTIF(AZ5:AZ30,"קורס")</f>
        <v/>
      </c>
      <c r="BA46" s="39">
        <f>COUNTIF(BA5:BA30,"קורס")</f>
        <v/>
      </c>
      <c r="BB46" s="39">
        <f>COUNTIF(BB5:BB30,"קורס")</f>
        <v/>
      </c>
      <c r="BC46" s="39">
        <f>COUNTIF(BC5:BC30,"קורס")</f>
        <v/>
      </c>
      <c r="BD46" s="39">
        <f>COUNTIF(BD5:BD30,"קורס")</f>
        <v/>
      </c>
      <c r="BE46" s="39">
        <f>COUNTIF(BE5:BE30,"קורס")</f>
        <v/>
      </c>
      <c r="BF46" s="39">
        <f>COUNTIF(BF5:BF30,"קורס")</f>
        <v/>
      </c>
      <c r="BG46" s="39">
        <f>COUNTIF(BG5:BG30,"קורס")</f>
        <v/>
      </c>
      <c r="BH46" s="39">
        <f>COUNTIF(BH5:BH30,"קורס")</f>
        <v/>
      </c>
      <c r="BI46" s="39">
        <f>COUNTIF(BI5:BI30,"קורס")</f>
        <v/>
      </c>
      <c r="BJ46" s="39">
        <f>COUNTIF(BJ5:BJ30,"קורס")</f>
        <v/>
      </c>
      <c r="BK46" s="39">
        <f>COUNTIF(BK5:BK30,"קורס")</f>
        <v/>
      </c>
      <c r="BL46" s="39">
        <f>COUNTIF(BL5:BL30,"קורס")</f>
        <v/>
      </c>
      <c r="BM46" s="39">
        <f>COUNTIF(BM5:BM30,"קורס")</f>
        <v/>
      </c>
      <c r="BN46" s="39">
        <f>COUNTIF(BN5:BN30,"קורס")</f>
        <v/>
      </c>
      <c r="BO46" s="39">
        <f>COUNTIF(BO5:BO30,"קורס")</f>
        <v/>
      </c>
      <c r="BP46" s="39">
        <f>COUNTIF(BP5:BP30,"קורס")</f>
        <v/>
      </c>
      <c r="BQ46" s="39">
        <f>COUNTIF(BQ5:BQ30,"קורס")</f>
        <v/>
      </c>
      <c r="BR46" s="39">
        <f>COUNTIF(BR5:BR30,"קורס")</f>
        <v/>
      </c>
      <c r="BS46" s="39">
        <f>COUNTIF(BS5:BS30,"קורס")</f>
        <v/>
      </c>
      <c r="BT46" s="39">
        <f>COUNTIF(BT5:BT30,"קורס")</f>
        <v/>
      </c>
      <c r="BU46" s="39">
        <f>COUNTIF(BU5:BU30,"קורס")</f>
        <v/>
      </c>
      <c r="BV46" s="39">
        <f>COUNTIF(BV5:BV30,"קורס")</f>
        <v/>
      </c>
      <c r="BW46" s="39">
        <f>COUNTIF(BW5:BW30,"קורס")</f>
        <v/>
      </c>
      <c r="BX46" s="39">
        <f>COUNTIF(BX5:BX30,"קורס")</f>
        <v/>
      </c>
      <c r="BY46" s="39">
        <f>COUNTIF(BY5:BY30,"קורס")</f>
        <v/>
      </c>
      <c r="BZ46" s="39">
        <f>COUNTIF(BZ5:BZ30,"קורס")</f>
        <v/>
      </c>
      <c r="CA46" s="39">
        <f>COUNTIF(CA5:CA30,"קורס")</f>
        <v/>
      </c>
      <c r="CB46" s="39">
        <f>COUNTIF(CB5:CB30,"קורס")</f>
        <v/>
      </c>
      <c r="CC46" s="39">
        <f>COUNTIF(CC5:CC30,"קורס")</f>
        <v/>
      </c>
      <c r="CD46" s="39">
        <f>COUNTIF(CD5:CD30,"קורס")</f>
        <v/>
      </c>
      <c r="CE46" s="39">
        <f>COUNTIF(CE5:CE30,"קורס")</f>
        <v/>
      </c>
      <c r="CF46" s="39">
        <f>COUNTIF(CF5:CF30,"קורס")</f>
        <v/>
      </c>
      <c r="CG46" s="39">
        <f>COUNTIF(CG5:CG30,"קורס")</f>
        <v/>
      </c>
      <c r="CH46" s="39">
        <f>COUNTIF(CH5:CH30,"קורס")</f>
        <v/>
      </c>
      <c r="CI46" s="39">
        <f>COUNTIF(CI5:CI30,"קורס")</f>
        <v/>
      </c>
      <c r="CJ46" s="39">
        <f>COUNTIF(CJ5:CJ30,"קורס")</f>
        <v/>
      </c>
      <c r="CK46" s="39">
        <f>COUNTIF(CK5:CK30,"קורס")</f>
        <v/>
      </c>
      <c r="CL46" s="39">
        <f>COUNTIF(CL5:CL30,"קורס")</f>
        <v/>
      </c>
      <c r="CM46" s="39">
        <f>COUNTIF(CM5:CM30,"קורס")</f>
        <v/>
      </c>
      <c r="CN46" s="39">
        <f>COUNTIF(CN5:CN30,"קורס")</f>
        <v/>
      </c>
      <c r="CO46" s="39">
        <f>COUNTIF(CO5:CO30,"קורס")</f>
        <v/>
      </c>
      <c r="CP46" s="39">
        <f>COUNTIF(CP5:CP30,"קורס")</f>
        <v/>
      </c>
      <c r="CQ46" s="39">
        <f>COUNTIF(CQ5:CQ30,"קורס")</f>
        <v/>
      </c>
      <c r="CR46" s="39">
        <f>COUNTIF(CR5:CR30,"קורס")</f>
        <v/>
      </c>
      <c r="CS46" s="39">
        <f>COUNTIF(CS5:CS30,"קורס")</f>
        <v/>
      </c>
      <c r="CT46" s="39">
        <f>COUNTIF(CT5:CT30,"קורס")</f>
        <v/>
      </c>
      <c r="CU46" s="39">
        <f>COUNTIF(CU5:CU30,"קורס")</f>
        <v/>
      </c>
      <c r="CV46" s="39">
        <f>COUNTIF(CV5:CV30,"קורס")</f>
        <v/>
      </c>
      <c r="CW46" s="39">
        <f>COUNTIF(CW5:CW30,"קורס")</f>
        <v/>
      </c>
      <c r="CX46" s="39">
        <f>COUNTIF(CX5:CX30,"קורס")</f>
        <v/>
      </c>
      <c r="CY46" s="39">
        <f>COUNTIF(CY5:CY30,"קורס")</f>
        <v/>
      </c>
      <c r="CZ46" s="39">
        <f>COUNTIF(CZ5:CZ30,"קורס")</f>
        <v/>
      </c>
      <c r="DA46" s="39">
        <f>COUNTIF(DA5:DA30,"קורס")</f>
        <v/>
      </c>
    </row>
    <row r="47">
      <c r="A47" s="38" t="inlineStr">
        <is>
          <t>גימלים</t>
        </is>
      </c>
      <c r="D47" s="39">
        <f>COUNTIF(D5:D30,"גימלים")</f>
        <v/>
      </c>
      <c r="E47" s="39">
        <f>COUNTIF(E5:E30,"גימלים")</f>
        <v/>
      </c>
      <c r="F47" s="39">
        <f>COUNTIF(F5:F30,"גימלים")</f>
        <v/>
      </c>
      <c r="G47" s="39">
        <f>COUNTIF(G5:G30,"גימלים")</f>
        <v/>
      </c>
      <c r="H47" s="39">
        <f>COUNTIF(H5:H30,"גימלים")</f>
        <v/>
      </c>
      <c r="I47" s="39">
        <f>COUNTIF(I5:I30,"גימלים")</f>
        <v/>
      </c>
      <c r="J47" s="39">
        <f>COUNTIF(J5:J30,"גימלים")</f>
        <v/>
      </c>
      <c r="K47" s="39">
        <f>COUNTIF(K5:K30,"גימלים")</f>
        <v/>
      </c>
      <c r="L47" s="39">
        <f>COUNTIF(L5:L30,"גימלים")</f>
        <v/>
      </c>
      <c r="M47" s="39">
        <f>COUNTIF(M5:M30,"גימלים")</f>
        <v/>
      </c>
      <c r="N47" s="39">
        <f>COUNTIF(N5:N30,"גימלים")</f>
        <v/>
      </c>
      <c r="O47" s="39">
        <f>COUNTIF(O5:O30,"גימלים")</f>
        <v/>
      </c>
      <c r="P47" s="39">
        <f>COUNTIF(P5:P30,"גימלים")</f>
        <v/>
      </c>
      <c r="Q47" s="39">
        <f>COUNTIF(Q5:Q30,"גימלים")</f>
        <v/>
      </c>
      <c r="R47" s="39">
        <f>COUNTIF(R5:R30,"גימלים")</f>
        <v/>
      </c>
      <c r="S47" s="39">
        <f>COUNTIF(S5:S30,"גימלים")</f>
        <v/>
      </c>
      <c r="T47" s="39">
        <f>COUNTIF(T5:T30,"גימלים")</f>
        <v/>
      </c>
      <c r="U47" s="39">
        <f>COUNTIF(U5:U30,"גימלים")</f>
        <v/>
      </c>
      <c r="V47" s="39">
        <f>COUNTIF(V5:V30,"גימלים")</f>
        <v/>
      </c>
      <c r="W47" s="39">
        <f>COUNTIF(W5:W30,"גימלים")</f>
        <v/>
      </c>
      <c r="X47" s="39">
        <f>COUNTIF(X5:X30,"גימלים")</f>
        <v/>
      </c>
      <c r="Y47" s="39">
        <f>COUNTIF(Y5:Y30,"גימלים")</f>
        <v/>
      </c>
      <c r="Z47" s="39">
        <f>COUNTIF(Z5:Z30,"גימלים")</f>
        <v/>
      </c>
      <c r="AA47" s="39">
        <f>COUNTIF(AA5:AA30,"גימלים")</f>
        <v/>
      </c>
      <c r="AB47" s="39">
        <f>COUNTIF(AB5:AB30,"גימלים")</f>
        <v/>
      </c>
      <c r="AC47" s="39">
        <f>COUNTIF(AC5:AC30,"גימלים")</f>
        <v/>
      </c>
      <c r="AD47" s="39">
        <f>COUNTIF(AD5:AD30,"גימלים")</f>
        <v/>
      </c>
      <c r="AE47" s="39">
        <f>COUNTIF(AE5:AE30,"גימלים")</f>
        <v/>
      </c>
      <c r="AF47" s="39">
        <f>COUNTIF(AF5:AF30,"גימלים")</f>
        <v/>
      </c>
      <c r="AG47" s="39">
        <f>COUNTIF(AG5:AG30,"גימלים")</f>
        <v/>
      </c>
      <c r="AH47" s="39">
        <f>COUNTIF(AH5:AH30,"גימלים")</f>
        <v/>
      </c>
      <c r="AI47" s="39">
        <f>COUNTIF(AI5:AI30,"גימלים")</f>
        <v/>
      </c>
      <c r="AJ47" s="39">
        <f>COUNTIF(AJ5:AJ30,"גימלים")</f>
        <v/>
      </c>
      <c r="AK47" s="39">
        <f>COUNTIF(AK5:AK30,"גימלים")</f>
        <v/>
      </c>
      <c r="AL47" s="39">
        <f>COUNTIF(AL5:AL30,"גימלים")</f>
        <v/>
      </c>
      <c r="AM47" s="39">
        <f>COUNTIF(AM5:AM30,"גימלים")</f>
        <v/>
      </c>
      <c r="AN47" s="39">
        <f>COUNTIF(AN5:AN30,"גימלים")</f>
        <v/>
      </c>
      <c r="AO47" s="39">
        <f>COUNTIF(AO5:AO30,"גימלים")</f>
        <v/>
      </c>
      <c r="AP47" s="39">
        <f>COUNTIF(AP5:AP30,"גימלים")</f>
        <v/>
      </c>
      <c r="AQ47" s="39">
        <f>COUNTIF(AQ5:AQ30,"גימלים")</f>
        <v/>
      </c>
      <c r="AR47" s="39">
        <f>COUNTIF(AR5:AR30,"גימלים")</f>
        <v/>
      </c>
      <c r="AS47" s="39">
        <f>COUNTIF(AS5:AS30,"גימלים")</f>
        <v/>
      </c>
      <c r="AT47" s="39">
        <f>COUNTIF(AT5:AT30,"גימלים")</f>
        <v/>
      </c>
      <c r="AU47" s="39">
        <f>COUNTIF(AU5:AU30,"גימלים")</f>
        <v/>
      </c>
      <c r="AV47" s="39">
        <f>COUNTIF(AV5:AV30,"גימלים")</f>
        <v/>
      </c>
      <c r="AW47" s="39">
        <f>COUNTIF(AW5:AW30,"גימלים")</f>
        <v/>
      </c>
      <c r="AX47" s="39">
        <f>COUNTIF(AX5:AX30,"גימלים")</f>
        <v/>
      </c>
      <c r="AY47" s="39">
        <f>COUNTIF(AY5:AY30,"גימלים")</f>
        <v/>
      </c>
      <c r="AZ47" s="39">
        <f>COUNTIF(AZ5:AZ30,"גימלים")</f>
        <v/>
      </c>
      <c r="BA47" s="39">
        <f>COUNTIF(BA5:BA30,"גימלים")</f>
        <v/>
      </c>
      <c r="BB47" s="39">
        <f>COUNTIF(BB5:BB30,"גימלים")</f>
        <v/>
      </c>
      <c r="BC47" s="39">
        <f>COUNTIF(BC5:BC30,"גימלים")</f>
        <v/>
      </c>
      <c r="BD47" s="39">
        <f>COUNTIF(BD5:BD30,"גימלים")</f>
        <v/>
      </c>
      <c r="BE47" s="39">
        <f>COUNTIF(BE5:BE30,"גימלים")</f>
        <v/>
      </c>
      <c r="BF47" s="39">
        <f>COUNTIF(BF5:BF30,"גימלים")</f>
        <v/>
      </c>
      <c r="BG47" s="39">
        <f>COUNTIF(BG5:BG30,"גימלים")</f>
        <v/>
      </c>
      <c r="BH47" s="39">
        <f>COUNTIF(BH5:BH30,"גימלים")</f>
        <v/>
      </c>
      <c r="BI47" s="39">
        <f>COUNTIF(BI5:BI30,"גימלים")</f>
        <v/>
      </c>
      <c r="BJ47" s="39">
        <f>COUNTIF(BJ5:BJ30,"גימלים")</f>
        <v/>
      </c>
      <c r="BK47" s="39">
        <f>COUNTIF(BK5:BK30,"גימלים")</f>
        <v/>
      </c>
      <c r="BL47" s="39">
        <f>COUNTIF(BL5:BL30,"גימלים")</f>
        <v/>
      </c>
      <c r="BM47" s="39">
        <f>COUNTIF(BM5:BM30,"גימלים")</f>
        <v/>
      </c>
      <c r="BN47" s="39">
        <f>COUNTIF(BN5:BN30,"גימלים")</f>
        <v/>
      </c>
      <c r="BO47" s="39">
        <f>COUNTIF(BO5:BO30,"גימלים")</f>
        <v/>
      </c>
      <c r="BP47" s="39">
        <f>COUNTIF(BP5:BP30,"גימלים")</f>
        <v/>
      </c>
      <c r="BQ47" s="39">
        <f>COUNTIF(BQ5:BQ30,"גימלים")</f>
        <v/>
      </c>
      <c r="BR47" s="39">
        <f>COUNTIF(BR5:BR30,"גימלים")</f>
        <v/>
      </c>
      <c r="BS47" s="39">
        <f>COUNTIF(BS5:BS30,"גימלים")</f>
        <v/>
      </c>
      <c r="BT47" s="39">
        <f>COUNTIF(BT5:BT30,"גימלים")</f>
        <v/>
      </c>
      <c r="BU47" s="39">
        <f>COUNTIF(BU5:BU30,"גימלים")</f>
        <v/>
      </c>
      <c r="BV47" s="39">
        <f>COUNTIF(BV5:BV30,"גימלים")</f>
        <v/>
      </c>
      <c r="BW47" s="39">
        <f>COUNTIF(BW5:BW30,"גימלים")</f>
        <v/>
      </c>
      <c r="BX47" s="39">
        <f>COUNTIF(BX5:BX30,"גימלים")</f>
        <v/>
      </c>
      <c r="BY47" s="39">
        <f>COUNTIF(BY5:BY30,"גימלים")</f>
        <v/>
      </c>
      <c r="BZ47" s="39">
        <f>COUNTIF(BZ5:BZ30,"גימלים")</f>
        <v/>
      </c>
      <c r="CA47" s="39">
        <f>COUNTIF(CA5:CA30,"גימלים")</f>
        <v/>
      </c>
      <c r="CB47" s="39">
        <f>COUNTIF(CB5:CB30,"גימלים")</f>
        <v/>
      </c>
      <c r="CC47" s="39">
        <f>COUNTIF(CC5:CC30,"גימלים")</f>
        <v/>
      </c>
      <c r="CD47" s="39">
        <f>COUNTIF(CD5:CD30,"גימלים")</f>
        <v/>
      </c>
      <c r="CE47" s="39">
        <f>COUNTIF(CE5:CE30,"גימלים")</f>
        <v/>
      </c>
      <c r="CF47" s="39">
        <f>COUNTIF(CF5:CF30,"גימלים")</f>
        <v/>
      </c>
      <c r="CG47" s="39">
        <f>COUNTIF(CG5:CG30,"גימלים")</f>
        <v/>
      </c>
      <c r="CH47" s="39">
        <f>COUNTIF(CH5:CH30,"גימלים")</f>
        <v/>
      </c>
      <c r="CI47" s="39">
        <f>COUNTIF(CI5:CI30,"גימלים")</f>
        <v/>
      </c>
      <c r="CJ47" s="39">
        <f>COUNTIF(CJ5:CJ30,"גימלים")</f>
        <v/>
      </c>
      <c r="CK47" s="39">
        <f>COUNTIF(CK5:CK30,"גימלים")</f>
        <v/>
      </c>
      <c r="CL47" s="39">
        <f>COUNTIF(CL5:CL30,"גימלים")</f>
        <v/>
      </c>
      <c r="CM47" s="39">
        <f>COUNTIF(CM5:CM30,"גימלים")</f>
        <v/>
      </c>
      <c r="CN47" s="39">
        <f>COUNTIF(CN5:CN30,"גימלים")</f>
        <v/>
      </c>
      <c r="CO47" s="39">
        <f>COUNTIF(CO5:CO30,"גימלים")</f>
        <v/>
      </c>
      <c r="CP47" s="39">
        <f>COUNTIF(CP5:CP30,"גימלים")</f>
        <v/>
      </c>
      <c r="CQ47" s="39">
        <f>COUNTIF(CQ5:CQ30,"גימלים")</f>
        <v/>
      </c>
      <c r="CR47" s="39">
        <f>COUNTIF(CR5:CR30,"גימלים")</f>
        <v/>
      </c>
      <c r="CS47" s="39">
        <f>COUNTIF(CS5:CS30,"גימלים")</f>
        <v/>
      </c>
      <c r="CT47" s="39">
        <f>COUNTIF(CT5:CT30,"גימלים")</f>
        <v/>
      </c>
      <c r="CU47" s="39">
        <f>COUNTIF(CU5:CU30,"גימלים")</f>
        <v/>
      </c>
      <c r="CV47" s="39">
        <f>COUNTIF(CV5:CV30,"גימלים")</f>
        <v/>
      </c>
      <c r="CW47" s="39">
        <f>COUNTIF(CW5:CW30,"גימלים")</f>
        <v/>
      </c>
      <c r="CX47" s="39">
        <f>COUNTIF(CX5:CX30,"גימלים")</f>
        <v/>
      </c>
      <c r="CY47" s="39">
        <f>COUNTIF(CY5:CY30,"גימלים")</f>
        <v/>
      </c>
      <c r="CZ47" s="39">
        <f>COUNTIF(CZ5:CZ30,"גימלים")</f>
        <v/>
      </c>
      <c r="DA47" s="39">
        <f>COUNTIF(DA5:DA30,"גימלים")</f>
        <v/>
      </c>
    </row>
    <row r="48">
      <c r="A48" s="38" t="inlineStr">
        <is>
          <t>מבחן</t>
        </is>
      </c>
      <c r="D48" s="39">
        <f>COUNTIF(D5:D30,"מבחן")</f>
        <v/>
      </c>
      <c r="E48" s="39">
        <f>COUNTIF(E5:E30,"מבחן")</f>
        <v/>
      </c>
      <c r="F48" s="39">
        <f>COUNTIF(F5:F30,"מבחן")</f>
        <v/>
      </c>
      <c r="G48" s="39">
        <f>COUNTIF(G5:G30,"מבחן")</f>
        <v/>
      </c>
      <c r="H48" s="39">
        <f>COUNTIF(H5:H30,"מבחן")</f>
        <v/>
      </c>
      <c r="I48" s="39">
        <f>COUNTIF(I5:I30,"מבחן")</f>
        <v/>
      </c>
      <c r="J48" s="39">
        <f>COUNTIF(J5:J30,"מבחן")</f>
        <v/>
      </c>
      <c r="K48" s="39">
        <f>COUNTIF(K5:K30,"מבחן")</f>
        <v/>
      </c>
      <c r="L48" s="39">
        <f>COUNTIF(L5:L30,"מבחן")</f>
        <v/>
      </c>
      <c r="M48" s="39">
        <f>COUNTIF(M5:M30,"מבחן")</f>
        <v/>
      </c>
      <c r="N48" s="39">
        <f>COUNTIF(N5:N30,"מבחן")</f>
        <v/>
      </c>
      <c r="O48" s="39">
        <f>COUNTIF(O5:O30,"מבחן")</f>
        <v/>
      </c>
      <c r="P48" s="39">
        <f>COUNTIF(P5:P30,"מבחן")</f>
        <v/>
      </c>
      <c r="Q48" s="39">
        <f>COUNTIF(Q5:Q30,"מבחן")</f>
        <v/>
      </c>
      <c r="R48" s="39">
        <f>COUNTIF(R5:R30,"מבחן")</f>
        <v/>
      </c>
      <c r="S48" s="39">
        <f>COUNTIF(S5:S30,"מבחן")</f>
        <v/>
      </c>
      <c r="T48" s="39">
        <f>COUNTIF(T5:T30,"מבחן")</f>
        <v/>
      </c>
      <c r="U48" s="39">
        <f>COUNTIF(U5:U30,"מבחן")</f>
        <v/>
      </c>
      <c r="V48" s="39">
        <f>COUNTIF(V5:V30,"מבחן")</f>
        <v/>
      </c>
      <c r="W48" s="39">
        <f>COUNTIF(W5:W30,"מבחן")</f>
        <v/>
      </c>
      <c r="X48" s="39">
        <f>COUNTIF(X5:X30,"מבחן")</f>
        <v/>
      </c>
      <c r="Y48" s="39">
        <f>COUNTIF(Y5:Y30,"מבחן")</f>
        <v/>
      </c>
      <c r="Z48" s="39">
        <f>COUNTIF(Z5:Z30,"מבחן")</f>
        <v/>
      </c>
      <c r="AA48" s="39">
        <f>COUNTIF(AA5:AA30,"מבחן")</f>
        <v/>
      </c>
      <c r="AB48" s="39">
        <f>COUNTIF(AB5:AB30,"מבחן")</f>
        <v/>
      </c>
      <c r="AC48" s="39">
        <f>COUNTIF(AC5:AC30,"מבחן")</f>
        <v/>
      </c>
      <c r="AD48" s="39">
        <f>COUNTIF(AD5:AD30,"מבחן")</f>
        <v/>
      </c>
      <c r="AE48" s="39">
        <f>COUNTIF(AE5:AE30,"מבחן")</f>
        <v/>
      </c>
      <c r="AF48" s="39">
        <f>COUNTIF(AF5:AF30,"מבחן")</f>
        <v/>
      </c>
      <c r="AG48" s="39">
        <f>COUNTIF(AG5:AG30,"מבחן")</f>
        <v/>
      </c>
      <c r="AH48" s="39">
        <f>COUNTIF(AH5:AH30,"מבחן")</f>
        <v/>
      </c>
      <c r="AI48" s="39">
        <f>COUNTIF(AI5:AI30,"מבחן")</f>
        <v/>
      </c>
      <c r="AJ48" s="39">
        <f>COUNTIF(AJ5:AJ30,"מבחן")</f>
        <v/>
      </c>
      <c r="AK48" s="39">
        <f>COUNTIF(AK5:AK30,"מבחן")</f>
        <v/>
      </c>
      <c r="AL48" s="39">
        <f>COUNTIF(AL5:AL30,"מבחן")</f>
        <v/>
      </c>
      <c r="AM48" s="39">
        <f>COUNTIF(AM5:AM30,"מבחן")</f>
        <v/>
      </c>
      <c r="AN48" s="39">
        <f>COUNTIF(AN5:AN30,"מבחן")</f>
        <v/>
      </c>
      <c r="AO48" s="39">
        <f>COUNTIF(AO5:AO30,"מבחן")</f>
        <v/>
      </c>
      <c r="AP48" s="39">
        <f>COUNTIF(AP5:AP30,"מבחן")</f>
        <v/>
      </c>
      <c r="AQ48" s="39">
        <f>COUNTIF(AQ5:AQ30,"מבחן")</f>
        <v/>
      </c>
      <c r="AR48" s="39">
        <f>COUNTIF(AR5:AR30,"מבחן")</f>
        <v/>
      </c>
      <c r="AS48" s="39">
        <f>COUNTIF(AS5:AS30,"מבחן")</f>
        <v/>
      </c>
      <c r="AT48" s="39">
        <f>COUNTIF(AT5:AT30,"מבחן")</f>
        <v/>
      </c>
      <c r="AU48" s="39">
        <f>COUNTIF(AU5:AU30,"מבחן")</f>
        <v/>
      </c>
      <c r="AV48" s="39">
        <f>COUNTIF(AV5:AV30,"מבחן")</f>
        <v/>
      </c>
      <c r="AW48" s="39">
        <f>COUNTIF(AW5:AW30,"מבחן")</f>
        <v/>
      </c>
      <c r="AX48" s="39">
        <f>COUNTIF(AX5:AX30,"מבחן")</f>
        <v/>
      </c>
      <c r="AY48" s="39">
        <f>COUNTIF(AY5:AY30,"מבחן")</f>
        <v/>
      </c>
      <c r="AZ48" s="39">
        <f>COUNTIF(AZ5:AZ30,"מבחן")</f>
        <v/>
      </c>
      <c r="BA48" s="39">
        <f>COUNTIF(BA5:BA30,"מבחן")</f>
        <v/>
      </c>
      <c r="BB48" s="39">
        <f>COUNTIF(BB5:BB30,"מבחן")</f>
        <v/>
      </c>
      <c r="BC48" s="39">
        <f>COUNTIF(BC5:BC30,"מבחן")</f>
        <v/>
      </c>
      <c r="BD48" s="39">
        <f>COUNTIF(BD5:BD30,"מבחן")</f>
        <v/>
      </c>
      <c r="BE48" s="39">
        <f>COUNTIF(BE5:BE30,"מבחן")</f>
        <v/>
      </c>
      <c r="BF48" s="39">
        <f>COUNTIF(BF5:BF30,"מבחן")</f>
        <v/>
      </c>
      <c r="BG48" s="39">
        <f>COUNTIF(BG5:BG30,"מבחן")</f>
        <v/>
      </c>
      <c r="BH48" s="39">
        <f>COUNTIF(BH5:BH30,"מבחן")</f>
        <v/>
      </c>
      <c r="BI48" s="39">
        <f>COUNTIF(BI5:BI30,"מבחן")</f>
        <v/>
      </c>
      <c r="BJ48" s="39">
        <f>COUNTIF(BJ5:BJ30,"מבחן")</f>
        <v/>
      </c>
      <c r="BK48" s="39">
        <f>COUNTIF(BK5:BK30,"מבחן")</f>
        <v/>
      </c>
      <c r="BL48" s="39">
        <f>COUNTIF(BL5:BL30,"מבחן")</f>
        <v/>
      </c>
      <c r="BM48" s="39">
        <f>COUNTIF(BM5:BM30,"מבחן")</f>
        <v/>
      </c>
      <c r="BN48" s="39">
        <f>COUNTIF(BN5:BN30,"מבחן")</f>
        <v/>
      </c>
      <c r="BO48" s="39">
        <f>COUNTIF(BO5:BO30,"מבחן")</f>
        <v/>
      </c>
      <c r="BP48" s="39">
        <f>COUNTIF(BP5:BP30,"מבחן")</f>
        <v/>
      </c>
      <c r="BQ48" s="39">
        <f>COUNTIF(BQ5:BQ30,"מבחן")</f>
        <v/>
      </c>
      <c r="BR48" s="39">
        <f>COUNTIF(BR5:BR30,"מבחן")</f>
        <v/>
      </c>
      <c r="BS48" s="39">
        <f>COUNTIF(BS5:BS30,"מבחן")</f>
        <v/>
      </c>
      <c r="BT48" s="39">
        <f>COUNTIF(BT5:BT30,"מבחן")</f>
        <v/>
      </c>
      <c r="BU48" s="39">
        <f>COUNTIF(BU5:BU30,"מבחן")</f>
        <v/>
      </c>
      <c r="BV48" s="39">
        <f>COUNTIF(BV5:BV30,"מבחן")</f>
        <v/>
      </c>
      <c r="BW48" s="39">
        <f>COUNTIF(BW5:BW30,"מבחן")</f>
        <v/>
      </c>
      <c r="BX48" s="39">
        <f>COUNTIF(BX5:BX30,"מבחן")</f>
        <v/>
      </c>
      <c r="BY48" s="39">
        <f>COUNTIF(BY5:BY30,"מבחן")</f>
        <v/>
      </c>
      <c r="BZ48" s="39">
        <f>COUNTIF(BZ5:BZ30,"מבחן")</f>
        <v/>
      </c>
      <c r="CA48" s="39">
        <f>COUNTIF(CA5:CA30,"מבחן")</f>
        <v/>
      </c>
      <c r="CB48" s="39">
        <f>COUNTIF(CB5:CB30,"מבחן")</f>
        <v/>
      </c>
      <c r="CC48" s="39">
        <f>COUNTIF(CC5:CC30,"מבחן")</f>
        <v/>
      </c>
      <c r="CD48" s="39">
        <f>COUNTIF(CD5:CD30,"מבחן")</f>
        <v/>
      </c>
      <c r="CE48" s="39">
        <f>COUNTIF(CE5:CE30,"מבחן")</f>
        <v/>
      </c>
      <c r="CF48" s="39">
        <f>COUNTIF(CF5:CF30,"מבחן")</f>
        <v/>
      </c>
      <c r="CG48" s="39">
        <f>COUNTIF(CG5:CG30,"מבחן")</f>
        <v/>
      </c>
      <c r="CH48" s="39">
        <f>COUNTIF(CH5:CH30,"מבחן")</f>
        <v/>
      </c>
      <c r="CI48" s="39">
        <f>COUNTIF(CI5:CI30,"מבחן")</f>
        <v/>
      </c>
      <c r="CJ48" s="39">
        <f>COUNTIF(CJ5:CJ30,"מבחן")</f>
        <v/>
      </c>
      <c r="CK48" s="39">
        <f>COUNTIF(CK5:CK30,"מבחן")</f>
        <v/>
      </c>
      <c r="CL48" s="39">
        <f>COUNTIF(CL5:CL30,"מבחן")</f>
        <v/>
      </c>
      <c r="CM48" s="39">
        <f>COUNTIF(CM5:CM30,"מבחן")</f>
        <v/>
      </c>
      <c r="CN48" s="39">
        <f>COUNTIF(CN5:CN30,"מבחן")</f>
        <v/>
      </c>
      <c r="CO48" s="39">
        <f>COUNTIF(CO5:CO30,"מבחן")</f>
        <v/>
      </c>
      <c r="CP48" s="39">
        <f>COUNTIF(CP5:CP30,"מבחן")</f>
        <v/>
      </c>
      <c r="CQ48" s="39">
        <f>COUNTIF(CQ5:CQ30,"מבחן")</f>
        <v/>
      </c>
      <c r="CR48" s="39">
        <f>COUNTIF(CR5:CR30,"מבחן")</f>
        <v/>
      </c>
      <c r="CS48" s="39">
        <f>COUNTIF(CS5:CS30,"מבחן")</f>
        <v/>
      </c>
      <c r="CT48" s="39">
        <f>COUNTIF(CT5:CT30,"מבחן")</f>
        <v/>
      </c>
      <c r="CU48" s="39">
        <f>COUNTIF(CU5:CU30,"מבחן")</f>
        <v/>
      </c>
      <c r="CV48" s="39">
        <f>COUNTIF(CV5:CV30,"מבחן")</f>
        <v/>
      </c>
      <c r="CW48" s="39">
        <f>COUNTIF(CW5:CW30,"מבחן")</f>
        <v/>
      </c>
      <c r="CX48" s="39">
        <f>COUNTIF(CX5:CX30,"מבחן")</f>
        <v/>
      </c>
      <c r="CY48" s="39">
        <f>COUNTIF(CY5:CY30,"מבחן")</f>
        <v/>
      </c>
      <c r="CZ48" s="39">
        <f>COUNTIF(CZ5:CZ30,"מבחן")</f>
        <v/>
      </c>
      <c r="DA48" s="39">
        <f>COUNTIF(DA5:DA30,"מבחן")</f>
        <v/>
      </c>
    </row>
    <row r="49">
      <c r="A49" s="38" t="inlineStr">
        <is>
          <t>חול</t>
        </is>
      </c>
      <c r="D49" s="39">
        <f>COUNTIF(D5:D30,"חול")</f>
        <v/>
      </c>
      <c r="E49" s="39">
        <f>COUNTIF(E5:E30,"חול")</f>
        <v/>
      </c>
      <c r="F49" s="39">
        <f>COUNTIF(F5:F30,"חול")</f>
        <v/>
      </c>
      <c r="G49" s="39">
        <f>COUNTIF(G5:G30,"חול")</f>
        <v/>
      </c>
      <c r="H49" s="39">
        <f>COUNTIF(H5:H30,"חול")</f>
        <v/>
      </c>
      <c r="I49" s="39">
        <f>COUNTIF(I5:I30,"חול")</f>
        <v/>
      </c>
      <c r="J49" s="39">
        <f>COUNTIF(J5:J30,"חול")</f>
        <v/>
      </c>
      <c r="K49" s="39">
        <f>COUNTIF(K5:K30,"חול")</f>
        <v/>
      </c>
      <c r="L49" s="39">
        <f>COUNTIF(L5:L30,"חול")</f>
        <v/>
      </c>
      <c r="M49" s="39">
        <f>COUNTIF(M5:M30,"חול")</f>
        <v/>
      </c>
      <c r="N49" s="39">
        <f>COUNTIF(N5:N30,"חול")</f>
        <v/>
      </c>
      <c r="O49" s="39">
        <f>COUNTIF(O5:O30,"חול")</f>
        <v/>
      </c>
      <c r="P49" s="39">
        <f>COUNTIF(P5:P30,"חול")</f>
        <v/>
      </c>
      <c r="Q49" s="39">
        <f>COUNTIF(Q5:Q30,"חול")</f>
        <v/>
      </c>
      <c r="R49" s="39">
        <f>COUNTIF(R5:R30,"חול")</f>
        <v/>
      </c>
      <c r="S49" s="39">
        <f>COUNTIF(S5:S30,"חול")</f>
        <v/>
      </c>
      <c r="T49" s="39">
        <f>COUNTIF(T5:T30,"חול")</f>
        <v/>
      </c>
      <c r="U49" s="39">
        <f>COUNTIF(U5:U30,"חול")</f>
        <v/>
      </c>
      <c r="V49" s="39">
        <f>COUNTIF(V5:V30,"חול")</f>
        <v/>
      </c>
      <c r="W49" s="39">
        <f>COUNTIF(W5:W30,"חול")</f>
        <v/>
      </c>
      <c r="X49" s="39">
        <f>COUNTIF(X5:X30,"חול")</f>
        <v/>
      </c>
      <c r="Y49" s="39">
        <f>COUNTIF(Y5:Y30,"חול")</f>
        <v/>
      </c>
      <c r="Z49" s="39">
        <f>COUNTIF(Z5:Z30,"חול")</f>
        <v/>
      </c>
      <c r="AA49" s="39">
        <f>COUNTIF(AA5:AA30,"חול")</f>
        <v/>
      </c>
      <c r="AB49" s="39">
        <f>COUNTIF(AB5:AB30,"חול")</f>
        <v/>
      </c>
      <c r="AC49" s="39">
        <f>COUNTIF(AC5:AC30,"חול")</f>
        <v/>
      </c>
      <c r="AD49" s="39">
        <f>COUNTIF(AD5:AD30,"חול")</f>
        <v/>
      </c>
      <c r="AE49" s="39">
        <f>COUNTIF(AE5:AE30,"חול")</f>
        <v/>
      </c>
      <c r="AF49" s="39">
        <f>COUNTIF(AF5:AF30,"חול")</f>
        <v/>
      </c>
      <c r="AG49" s="39">
        <f>COUNTIF(AG5:AG30,"חול")</f>
        <v/>
      </c>
      <c r="AH49" s="39">
        <f>COUNTIF(AH5:AH30,"חול")</f>
        <v/>
      </c>
      <c r="AI49" s="39">
        <f>COUNTIF(AI5:AI30,"חול")</f>
        <v/>
      </c>
      <c r="AJ49" s="39">
        <f>COUNTIF(AJ5:AJ30,"חול")</f>
        <v/>
      </c>
      <c r="AK49" s="39">
        <f>COUNTIF(AK5:AK30,"חול")</f>
        <v/>
      </c>
      <c r="AL49" s="39">
        <f>COUNTIF(AL5:AL30,"חול")</f>
        <v/>
      </c>
      <c r="AM49" s="39">
        <f>COUNTIF(AM5:AM30,"חול")</f>
        <v/>
      </c>
      <c r="AN49" s="39">
        <f>COUNTIF(AN5:AN30,"חול")</f>
        <v/>
      </c>
      <c r="AO49" s="39">
        <f>COUNTIF(AO5:AO30,"חול")</f>
        <v/>
      </c>
      <c r="AP49" s="39">
        <f>COUNTIF(AP5:AP30,"חול")</f>
        <v/>
      </c>
      <c r="AQ49" s="39">
        <f>COUNTIF(AQ5:AQ30,"חול")</f>
        <v/>
      </c>
      <c r="AR49" s="39">
        <f>COUNTIF(AR5:AR30,"חול")</f>
        <v/>
      </c>
      <c r="AS49" s="39">
        <f>COUNTIF(AS5:AS30,"חול")</f>
        <v/>
      </c>
      <c r="AT49" s="39">
        <f>COUNTIF(AT5:AT30,"חול")</f>
        <v/>
      </c>
      <c r="AU49" s="39">
        <f>COUNTIF(AU5:AU30,"חול")</f>
        <v/>
      </c>
      <c r="AV49" s="39">
        <f>COUNTIF(AV5:AV30,"חול")</f>
        <v/>
      </c>
      <c r="AW49" s="39">
        <f>COUNTIF(AW5:AW30,"חול")</f>
        <v/>
      </c>
      <c r="AX49" s="39">
        <f>COUNTIF(AX5:AX30,"חול")</f>
        <v/>
      </c>
      <c r="AY49" s="39">
        <f>COUNTIF(AY5:AY30,"חול")</f>
        <v/>
      </c>
      <c r="AZ49" s="39">
        <f>COUNTIF(AZ5:AZ30,"חול")</f>
        <v/>
      </c>
      <c r="BA49" s="39">
        <f>COUNTIF(BA5:BA30,"חול")</f>
        <v/>
      </c>
      <c r="BB49" s="39">
        <f>COUNTIF(BB5:BB30,"חול")</f>
        <v/>
      </c>
      <c r="BC49" s="39">
        <f>COUNTIF(BC5:BC30,"חול")</f>
        <v/>
      </c>
      <c r="BD49" s="39">
        <f>COUNTIF(BD5:BD30,"חול")</f>
        <v/>
      </c>
      <c r="BE49" s="39">
        <f>COUNTIF(BE5:BE30,"חול")</f>
        <v/>
      </c>
      <c r="BF49" s="39">
        <f>COUNTIF(BF5:BF30,"חול")</f>
        <v/>
      </c>
      <c r="BG49" s="39">
        <f>COUNTIF(BG5:BG30,"חול")</f>
        <v/>
      </c>
      <c r="BH49" s="39">
        <f>COUNTIF(BH5:BH30,"חול")</f>
        <v/>
      </c>
      <c r="BI49" s="39">
        <f>COUNTIF(BI5:BI30,"חול")</f>
        <v/>
      </c>
      <c r="BJ49" s="39">
        <f>COUNTIF(BJ5:BJ30,"חול")</f>
        <v/>
      </c>
      <c r="BK49" s="39">
        <f>COUNTIF(BK5:BK30,"חול")</f>
        <v/>
      </c>
      <c r="BL49" s="39">
        <f>COUNTIF(BL5:BL30,"חול")</f>
        <v/>
      </c>
      <c r="BM49" s="39">
        <f>COUNTIF(BM5:BM30,"חול")</f>
        <v/>
      </c>
      <c r="BN49" s="39">
        <f>COUNTIF(BN5:BN30,"חול")</f>
        <v/>
      </c>
      <c r="BO49" s="39">
        <f>COUNTIF(BO5:BO30,"חול")</f>
        <v/>
      </c>
      <c r="BP49" s="39">
        <f>COUNTIF(BP5:BP30,"חול")</f>
        <v/>
      </c>
      <c r="BQ49" s="39">
        <f>COUNTIF(BQ5:BQ30,"חול")</f>
        <v/>
      </c>
      <c r="BR49" s="39">
        <f>COUNTIF(BR5:BR30,"חול")</f>
        <v/>
      </c>
      <c r="BS49" s="39">
        <f>COUNTIF(BS5:BS30,"חול")</f>
        <v/>
      </c>
      <c r="BT49" s="39">
        <f>COUNTIF(BT5:BT30,"חול")</f>
        <v/>
      </c>
      <c r="BU49" s="39">
        <f>COUNTIF(BU5:BU30,"חול")</f>
        <v/>
      </c>
      <c r="BV49" s="39">
        <f>COUNTIF(BV5:BV30,"חול")</f>
        <v/>
      </c>
      <c r="BW49" s="39">
        <f>COUNTIF(BW5:BW30,"חול")</f>
        <v/>
      </c>
      <c r="BX49" s="39">
        <f>COUNTIF(BX5:BX30,"חול")</f>
        <v/>
      </c>
      <c r="BY49" s="39">
        <f>COUNTIF(BY5:BY30,"חול")</f>
        <v/>
      </c>
      <c r="BZ49" s="39">
        <f>COUNTIF(BZ5:BZ30,"חול")</f>
        <v/>
      </c>
      <c r="CA49" s="39">
        <f>COUNTIF(CA5:CA30,"חול")</f>
        <v/>
      </c>
      <c r="CB49" s="39">
        <f>COUNTIF(CB5:CB30,"חול")</f>
        <v/>
      </c>
      <c r="CC49" s="39">
        <f>COUNTIF(CC5:CC30,"חול")</f>
        <v/>
      </c>
      <c r="CD49" s="39">
        <f>COUNTIF(CD5:CD30,"חול")</f>
        <v/>
      </c>
      <c r="CE49" s="39">
        <f>COUNTIF(CE5:CE30,"חול")</f>
        <v/>
      </c>
      <c r="CF49" s="39">
        <f>COUNTIF(CF5:CF30,"חול")</f>
        <v/>
      </c>
      <c r="CG49" s="39">
        <f>COUNTIF(CG5:CG30,"חול")</f>
        <v/>
      </c>
      <c r="CH49" s="39">
        <f>COUNTIF(CH5:CH30,"חול")</f>
        <v/>
      </c>
      <c r="CI49" s="39">
        <f>COUNTIF(CI5:CI30,"חול")</f>
        <v/>
      </c>
      <c r="CJ49" s="39">
        <f>COUNTIF(CJ5:CJ30,"חול")</f>
        <v/>
      </c>
      <c r="CK49" s="39">
        <f>COUNTIF(CK5:CK30,"חול")</f>
        <v/>
      </c>
      <c r="CL49" s="39">
        <f>COUNTIF(CL5:CL30,"חול")</f>
        <v/>
      </c>
      <c r="CM49" s="39">
        <f>COUNTIF(CM5:CM30,"חול")</f>
        <v/>
      </c>
      <c r="CN49" s="39">
        <f>COUNTIF(CN5:CN30,"חול")</f>
        <v/>
      </c>
      <c r="CO49" s="39">
        <f>COUNTIF(CO5:CO30,"חול")</f>
        <v/>
      </c>
      <c r="CP49" s="39">
        <f>COUNTIF(CP5:CP30,"חול")</f>
        <v/>
      </c>
      <c r="CQ49" s="39">
        <f>COUNTIF(CQ5:CQ30,"חול")</f>
        <v/>
      </c>
      <c r="CR49" s="39">
        <f>COUNTIF(CR5:CR30,"חול")</f>
        <v/>
      </c>
      <c r="CS49" s="39">
        <f>COUNTIF(CS5:CS30,"חול")</f>
        <v/>
      </c>
      <c r="CT49" s="39">
        <f>COUNTIF(CT5:CT30,"חול")</f>
        <v/>
      </c>
      <c r="CU49" s="39">
        <f>COUNTIF(CU5:CU30,"חול")</f>
        <v/>
      </c>
      <c r="CV49" s="39">
        <f>COUNTIF(CV5:CV30,"חול")</f>
        <v/>
      </c>
      <c r="CW49" s="39">
        <f>COUNTIF(CW5:CW30,"חול")</f>
        <v/>
      </c>
      <c r="CX49" s="39">
        <f>COUNTIF(CX5:CX30,"חול")</f>
        <v/>
      </c>
      <c r="CY49" s="39">
        <f>COUNTIF(CY5:CY30,"חול")</f>
        <v/>
      </c>
      <c r="CZ49" s="39">
        <f>COUNTIF(CZ5:CZ30,"חול")</f>
        <v/>
      </c>
      <c r="DA49" s="39">
        <f>COUNTIF(DA5:DA30,"חול")</f>
        <v/>
      </c>
    </row>
    <row r="50">
      <c r="A50" s="38" t="inlineStr">
        <is>
          <t>בית</t>
        </is>
      </c>
      <c r="D50" s="39">
        <f>COUNTIF(D5:D30,"בית")</f>
        <v/>
      </c>
      <c r="E50" s="39">
        <f>COUNTIF(E5:E30,"בית")</f>
        <v/>
      </c>
      <c r="F50" s="39">
        <f>COUNTIF(F5:F30,"בית")</f>
        <v/>
      </c>
      <c r="G50" s="39">
        <f>COUNTIF(G5:G30,"בית")</f>
        <v/>
      </c>
      <c r="H50" s="39">
        <f>COUNTIF(H5:H30,"בית")</f>
        <v/>
      </c>
      <c r="I50" s="39">
        <f>COUNTIF(I5:I30,"בית")</f>
        <v/>
      </c>
      <c r="J50" s="39">
        <f>COUNTIF(J5:J30,"בית")</f>
        <v/>
      </c>
      <c r="K50" s="39">
        <f>COUNTIF(K5:K30,"בית")</f>
        <v/>
      </c>
      <c r="L50" s="39">
        <f>COUNTIF(L5:L30,"בית")</f>
        <v/>
      </c>
      <c r="M50" s="39">
        <f>COUNTIF(M5:M30,"בית")</f>
        <v/>
      </c>
      <c r="N50" s="39">
        <f>COUNTIF(N5:N30,"בית")</f>
        <v/>
      </c>
      <c r="O50" s="39">
        <f>COUNTIF(O5:O30,"בית")</f>
        <v/>
      </c>
      <c r="P50" s="39">
        <f>COUNTIF(P5:P30,"בית")</f>
        <v/>
      </c>
      <c r="Q50" s="39">
        <f>COUNTIF(Q5:Q30,"בית")</f>
        <v/>
      </c>
      <c r="R50" s="39">
        <f>COUNTIF(R5:R30,"בית")</f>
        <v/>
      </c>
      <c r="S50" s="39">
        <f>COUNTIF(S5:S30,"בית")</f>
        <v/>
      </c>
      <c r="T50" s="39">
        <f>COUNTIF(T5:T30,"בית")</f>
        <v/>
      </c>
      <c r="U50" s="39">
        <f>COUNTIF(U5:U30,"בית")</f>
        <v/>
      </c>
      <c r="V50" s="39">
        <f>COUNTIF(V5:V30,"בית")</f>
        <v/>
      </c>
      <c r="W50" s="39">
        <f>COUNTIF(W5:W30,"בית")</f>
        <v/>
      </c>
      <c r="X50" s="39">
        <f>COUNTIF(X5:X30,"בית")</f>
        <v/>
      </c>
      <c r="Y50" s="39">
        <f>COUNTIF(Y5:Y30,"בית")</f>
        <v/>
      </c>
      <c r="Z50" s="39">
        <f>COUNTIF(Z5:Z30,"בית")</f>
        <v/>
      </c>
      <c r="AA50" s="39">
        <f>COUNTIF(AA5:AA30,"בית")</f>
        <v/>
      </c>
      <c r="AB50" s="39">
        <f>COUNTIF(AB5:AB30,"בית")</f>
        <v/>
      </c>
      <c r="AC50" s="39">
        <f>COUNTIF(AC5:AC30,"בית")</f>
        <v/>
      </c>
      <c r="AD50" s="39">
        <f>COUNTIF(AD5:AD30,"בית")</f>
        <v/>
      </c>
      <c r="AE50" s="39">
        <f>COUNTIF(AE5:AE30,"בית")</f>
        <v/>
      </c>
      <c r="AF50" s="39">
        <f>COUNTIF(AF5:AF30,"בית")</f>
        <v/>
      </c>
      <c r="AG50" s="39">
        <f>COUNTIF(AG5:AG30,"בית")</f>
        <v/>
      </c>
      <c r="AH50" s="39">
        <f>COUNTIF(AH5:AH30,"בית")</f>
        <v/>
      </c>
      <c r="AI50" s="39">
        <f>COUNTIF(AI5:AI30,"בית")</f>
        <v/>
      </c>
      <c r="AJ50" s="39">
        <f>COUNTIF(AJ5:AJ30,"בית")</f>
        <v/>
      </c>
      <c r="AK50" s="39">
        <f>COUNTIF(AK5:AK30,"בית")</f>
        <v/>
      </c>
      <c r="AL50" s="39">
        <f>COUNTIF(AL5:AL30,"בית")</f>
        <v/>
      </c>
      <c r="AM50" s="39">
        <f>COUNTIF(AM5:AM30,"בית")</f>
        <v/>
      </c>
      <c r="AN50" s="39">
        <f>COUNTIF(AN5:AN30,"בית")</f>
        <v/>
      </c>
      <c r="AO50" s="39">
        <f>COUNTIF(AO5:AO30,"בית")</f>
        <v/>
      </c>
      <c r="AP50" s="39">
        <f>COUNTIF(AP5:AP30,"בית")</f>
        <v/>
      </c>
      <c r="AQ50" s="39">
        <f>COUNTIF(AQ5:AQ30,"בית")</f>
        <v/>
      </c>
      <c r="AR50" s="39">
        <f>COUNTIF(AR5:AR30,"בית")</f>
        <v/>
      </c>
      <c r="AS50" s="39">
        <f>COUNTIF(AS5:AS30,"בית")</f>
        <v/>
      </c>
      <c r="AT50" s="39">
        <f>COUNTIF(AT5:AT30,"בית")</f>
        <v/>
      </c>
      <c r="AU50" s="39">
        <f>COUNTIF(AU5:AU30,"בית")</f>
        <v/>
      </c>
      <c r="AV50" s="39">
        <f>COUNTIF(AV5:AV30,"בית")</f>
        <v/>
      </c>
      <c r="AW50" s="39">
        <f>COUNTIF(AW5:AW30,"בית")</f>
        <v/>
      </c>
      <c r="AX50" s="39">
        <f>COUNTIF(AX5:AX30,"בית")</f>
        <v/>
      </c>
      <c r="AY50" s="39">
        <f>COUNTIF(AY5:AY30,"בית")</f>
        <v/>
      </c>
      <c r="AZ50" s="39">
        <f>COUNTIF(AZ5:AZ30,"בית")</f>
        <v/>
      </c>
      <c r="BA50" s="39">
        <f>COUNTIF(BA5:BA30,"בית")</f>
        <v/>
      </c>
      <c r="BB50" s="39">
        <f>COUNTIF(BB5:BB30,"בית")</f>
        <v/>
      </c>
      <c r="BC50" s="39">
        <f>COUNTIF(BC5:BC30,"בית")</f>
        <v/>
      </c>
      <c r="BD50" s="39">
        <f>COUNTIF(BD5:BD30,"בית")</f>
        <v/>
      </c>
      <c r="BE50" s="39">
        <f>COUNTIF(BE5:BE30,"בית")</f>
        <v/>
      </c>
      <c r="BF50" s="39">
        <f>COUNTIF(BF5:BF30,"בית")</f>
        <v/>
      </c>
      <c r="BG50" s="39">
        <f>COUNTIF(BG5:BG30,"בית")</f>
        <v/>
      </c>
      <c r="BH50" s="39">
        <f>COUNTIF(BH5:BH30,"בית")</f>
        <v/>
      </c>
      <c r="BI50" s="39">
        <f>COUNTIF(BI5:BI30,"בית")</f>
        <v/>
      </c>
      <c r="BJ50" s="39">
        <f>COUNTIF(BJ5:BJ30,"בית")</f>
        <v/>
      </c>
      <c r="BK50" s="39">
        <f>COUNTIF(BK5:BK30,"בית")</f>
        <v/>
      </c>
      <c r="BL50" s="39">
        <f>COUNTIF(BL5:BL30,"בית")</f>
        <v/>
      </c>
      <c r="BM50" s="39">
        <f>COUNTIF(BM5:BM30,"בית")</f>
        <v/>
      </c>
      <c r="BN50" s="39">
        <f>COUNTIF(BN5:BN30,"בית")</f>
        <v/>
      </c>
      <c r="BO50" s="39">
        <f>COUNTIF(BO5:BO30,"בית")</f>
        <v/>
      </c>
      <c r="BP50" s="39">
        <f>COUNTIF(BP5:BP30,"בית")</f>
        <v/>
      </c>
      <c r="BQ50" s="39">
        <f>COUNTIF(BQ5:BQ30,"בית")</f>
        <v/>
      </c>
      <c r="BR50" s="39">
        <f>COUNTIF(BR5:BR30,"בית")</f>
        <v/>
      </c>
      <c r="BS50" s="39">
        <f>COUNTIF(BS5:BS30,"בית")</f>
        <v/>
      </c>
      <c r="BT50" s="39">
        <f>COUNTIF(BT5:BT30,"בית")</f>
        <v/>
      </c>
      <c r="BU50" s="39">
        <f>COUNTIF(BU5:BU30,"בית")</f>
        <v/>
      </c>
      <c r="BV50" s="39">
        <f>COUNTIF(BV5:BV30,"בית")</f>
        <v/>
      </c>
      <c r="BW50" s="39">
        <f>COUNTIF(BW5:BW30,"בית")</f>
        <v/>
      </c>
      <c r="BX50" s="39">
        <f>COUNTIF(BX5:BX30,"בית")</f>
        <v/>
      </c>
      <c r="BY50" s="39">
        <f>COUNTIF(BY5:BY30,"בית")</f>
        <v/>
      </c>
      <c r="BZ50" s="39">
        <f>COUNTIF(BZ5:BZ30,"בית")</f>
        <v/>
      </c>
      <c r="CA50" s="39">
        <f>COUNTIF(CA5:CA30,"בית")</f>
        <v/>
      </c>
      <c r="CB50" s="39">
        <f>COUNTIF(CB5:CB30,"בית")</f>
        <v/>
      </c>
      <c r="CC50" s="39">
        <f>COUNTIF(CC5:CC30,"בית")</f>
        <v/>
      </c>
      <c r="CD50" s="39">
        <f>COUNTIF(CD5:CD30,"בית")</f>
        <v/>
      </c>
      <c r="CE50" s="39">
        <f>COUNTIF(CE5:CE30,"בית")</f>
        <v/>
      </c>
      <c r="CF50" s="39">
        <f>COUNTIF(CF5:CF30,"בית")</f>
        <v/>
      </c>
      <c r="CG50" s="39">
        <f>COUNTIF(CG5:CG30,"בית")</f>
        <v/>
      </c>
      <c r="CH50" s="39">
        <f>COUNTIF(CH5:CH30,"בית")</f>
        <v/>
      </c>
      <c r="CI50" s="39">
        <f>COUNTIF(CI5:CI30,"בית")</f>
        <v/>
      </c>
      <c r="CJ50" s="39">
        <f>COUNTIF(CJ5:CJ30,"בית")</f>
        <v/>
      </c>
      <c r="CK50" s="39">
        <f>COUNTIF(CK5:CK30,"בית")</f>
        <v/>
      </c>
      <c r="CL50" s="39">
        <f>COUNTIF(CL5:CL30,"בית")</f>
        <v/>
      </c>
      <c r="CM50" s="39">
        <f>COUNTIF(CM5:CM30,"בית")</f>
        <v/>
      </c>
      <c r="CN50" s="39">
        <f>COUNTIF(CN5:CN30,"בית")</f>
        <v/>
      </c>
      <c r="CO50" s="39">
        <f>COUNTIF(CO5:CO30,"בית")</f>
        <v/>
      </c>
      <c r="CP50" s="39">
        <f>COUNTIF(CP5:CP30,"בית")</f>
        <v/>
      </c>
      <c r="CQ50" s="39">
        <f>COUNTIF(CQ5:CQ30,"בית")</f>
        <v/>
      </c>
      <c r="CR50" s="39">
        <f>COUNTIF(CR5:CR30,"בית")</f>
        <v/>
      </c>
      <c r="CS50" s="39">
        <f>COUNTIF(CS5:CS30,"בית")</f>
        <v/>
      </c>
      <c r="CT50" s="39">
        <f>COUNTIF(CT5:CT30,"בית")</f>
        <v/>
      </c>
      <c r="CU50" s="39">
        <f>COUNTIF(CU5:CU30,"בית")</f>
        <v/>
      </c>
      <c r="CV50" s="39">
        <f>COUNTIF(CV5:CV30,"בית")</f>
        <v/>
      </c>
      <c r="CW50" s="39">
        <f>COUNTIF(CW5:CW30,"בית")</f>
        <v/>
      </c>
      <c r="CX50" s="39">
        <f>COUNTIF(CX5:CX30,"בית")</f>
        <v/>
      </c>
      <c r="CY50" s="39">
        <f>COUNTIF(CY5:CY30,"בית")</f>
        <v/>
      </c>
      <c r="CZ50" s="39">
        <f>COUNTIF(CZ5:CZ30,"בית")</f>
        <v/>
      </c>
      <c r="DA50" s="39">
        <f>COUNTIF(DA5:DA30,"בית")</f>
        <v/>
      </c>
    </row>
    <row r="51">
      <c r="A51" s="38" t="inlineStr">
        <is>
          <t>X</t>
        </is>
      </c>
      <c r="D51" s="39">
        <f>COUNTIF(D5:D30,"X")</f>
        <v/>
      </c>
      <c r="E51" s="39">
        <f>COUNTIF(E5:E30,"X")</f>
        <v/>
      </c>
      <c r="F51" s="39">
        <f>COUNTIF(F5:F30,"X")</f>
        <v/>
      </c>
      <c r="G51" s="39">
        <f>COUNTIF(G5:G30,"X")</f>
        <v/>
      </c>
      <c r="H51" s="39">
        <f>COUNTIF(H5:H30,"X")</f>
        <v/>
      </c>
      <c r="I51" s="39">
        <f>COUNTIF(I5:I30,"X")</f>
        <v/>
      </c>
      <c r="J51" s="39">
        <f>COUNTIF(J5:J30,"X")</f>
        <v/>
      </c>
      <c r="K51" s="39">
        <f>COUNTIF(K5:K30,"X")</f>
        <v/>
      </c>
      <c r="L51" s="39">
        <f>COUNTIF(L5:L30,"X")</f>
        <v/>
      </c>
      <c r="M51" s="39">
        <f>COUNTIF(M5:M30,"X")</f>
        <v/>
      </c>
      <c r="N51" s="39">
        <f>COUNTIF(N5:N30,"X")</f>
        <v/>
      </c>
      <c r="O51" s="39">
        <f>COUNTIF(O5:O30,"X")</f>
        <v/>
      </c>
      <c r="P51" s="39">
        <f>COUNTIF(P5:P30,"X")</f>
        <v/>
      </c>
      <c r="Q51" s="39">
        <f>COUNTIF(Q5:Q30,"X")</f>
        <v/>
      </c>
      <c r="R51" s="39">
        <f>COUNTIF(R5:R30,"X")</f>
        <v/>
      </c>
      <c r="S51" s="39">
        <f>COUNTIF(S5:S30,"X")</f>
        <v/>
      </c>
      <c r="T51" s="39">
        <f>COUNTIF(T5:T30,"X")</f>
        <v/>
      </c>
      <c r="U51" s="39">
        <f>COUNTIF(U5:U30,"X")</f>
        <v/>
      </c>
      <c r="V51" s="39">
        <f>COUNTIF(V5:V30,"X")</f>
        <v/>
      </c>
      <c r="W51" s="39">
        <f>COUNTIF(W5:W30,"X")</f>
        <v/>
      </c>
      <c r="X51" s="39">
        <f>COUNTIF(X5:X30,"X")</f>
        <v/>
      </c>
      <c r="Y51" s="39">
        <f>COUNTIF(Y5:Y30,"X")</f>
        <v/>
      </c>
      <c r="Z51" s="39">
        <f>COUNTIF(Z5:Z30,"X")</f>
        <v/>
      </c>
      <c r="AA51" s="39">
        <f>COUNTIF(AA5:AA30,"X")</f>
        <v/>
      </c>
      <c r="AB51" s="39">
        <f>COUNTIF(AB5:AB30,"X")</f>
        <v/>
      </c>
      <c r="AC51" s="39">
        <f>COUNTIF(AC5:AC30,"X")</f>
        <v/>
      </c>
      <c r="AD51" s="39">
        <f>COUNTIF(AD5:AD30,"X")</f>
        <v/>
      </c>
      <c r="AE51" s="39">
        <f>COUNTIF(AE5:AE30,"X")</f>
        <v/>
      </c>
      <c r="AF51" s="39">
        <f>COUNTIF(AF5:AF30,"X")</f>
        <v/>
      </c>
      <c r="AG51" s="39">
        <f>COUNTIF(AG5:AG30,"X")</f>
        <v/>
      </c>
      <c r="AH51" s="39">
        <f>COUNTIF(AH5:AH30,"X")</f>
        <v/>
      </c>
      <c r="AI51" s="39">
        <f>COUNTIF(AI5:AI30,"X")</f>
        <v/>
      </c>
      <c r="AJ51" s="39">
        <f>COUNTIF(AJ5:AJ30,"X")</f>
        <v/>
      </c>
      <c r="AK51" s="39">
        <f>COUNTIF(AK5:AK30,"X")</f>
        <v/>
      </c>
      <c r="AL51" s="39">
        <f>COUNTIF(AL5:AL30,"X")</f>
        <v/>
      </c>
      <c r="AM51" s="39">
        <f>COUNTIF(AM5:AM30,"X")</f>
        <v/>
      </c>
      <c r="AN51" s="39">
        <f>COUNTIF(AN5:AN30,"X")</f>
        <v/>
      </c>
      <c r="AO51" s="39">
        <f>COUNTIF(AO5:AO30,"X")</f>
        <v/>
      </c>
      <c r="AP51" s="39">
        <f>COUNTIF(AP5:AP30,"X")</f>
        <v/>
      </c>
      <c r="AQ51" s="39">
        <f>COUNTIF(AQ5:AQ30,"X")</f>
        <v/>
      </c>
      <c r="AR51" s="39">
        <f>COUNTIF(AR5:AR30,"X")</f>
        <v/>
      </c>
      <c r="AS51" s="39">
        <f>COUNTIF(AS5:AS30,"X")</f>
        <v/>
      </c>
      <c r="AT51" s="39">
        <f>COUNTIF(AT5:AT30,"X")</f>
        <v/>
      </c>
      <c r="AU51" s="39">
        <f>COUNTIF(AU5:AU30,"X")</f>
        <v/>
      </c>
      <c r="AV51" s="39">
        <f>COUNTIF(AV5:AV30,"X")</f>
        <v/>
      </c>
      <c r="AW51" s="39">
        <f>COUNTIF(AW5:AW30,"X")</f>
        <v/>
      </c>
      <c r="AX51" s="39">
        <f>COUNTIF(AX5:AX30,"X")</f>
        <v/>
      </c>
      <c r="AY51" s="39">
        <f>COUNTIF(AY5:AY30,"X")</f>
        <v/>
      </c>
      <c r="AZ51" s="39">
        <f>COUNTIF(AZ5:AZ30,"X")</f>
        <v/>
      </c>
      <c r="BA51" s="39">
        <f>COUNTIF(BA5:BA30,"X")</f>
        <v/>
      </c>
      <c r="BB51" s="39">
        <f>COUNTIF(BB5:BB30,"X")</f>
        <v/>
      </c>
      <c r="BC51" s="39">
        <f>COUNTIF(BC5:BC30,"X")</f>
        <v/>
      </c>
      <c r="BD51" s="39">
        <f>COUNTIF(BD5:BD30,"X")</f>
        <v/>
      </c>
      <c r="BE51" s="39">
        <f>COUNTIF(BE5:BE30,"X")</f>
        <v/>
      </c>
      <c r="BF51" s="39">
        <f>COUNTIF(BF5:BF30,"X")</f>
        <v/>
      </c>
      <c r="BG51" s="39">
        <f>COUNTIF(BG5:BG30,"X")</f>
        <v/>
      </c>
      <c r="BH51" s="39">
        <f>COUNTIF(BH5:BH30,"X")</f>
        <v/>
      </c>
      <c r="BI51" s="39">
        <f>COUNTIF(BI5:BI30,"X")</f>
        <v/>
      </c>
      <c r="BJ51" s="39">
        <f>COUNTIF(BJ5:BJ30,"X")</f>
        <v/>
      </c>
      <c r="BK51" s="39">
        <f>COUNTIF(BK5:BK30,"X")</f>
        <v/>
      </c>
      <c r="BL51" s="39">
        <f>COUNTIF(BL5:BL30,"X")</f>
        <v/>
      </c>
      <c r="BM51" s="39">
        <f>COUNTIF(BM5:BM30,"X")</f>
        <v/>
      </c>
      <c r="BN51" s="39">
        <f>COUNTIF(BN5:BN30,"X")</f>
        <v/>
      </c>
      <c r="BO51" s="39">
        <f>COUNTIF(BO5:BO30,"X")</f>
        <v/>
      </c>
      <c r="BP51" s="39">
        <f>COUNTIF(BP5:BP30,"X")</f>
        <v/>
      </c>
      <c r="BQ51" s="39">
        <f>COUNTIF(BQ5:BQ30,"X")</f>
        <v/>
      </c>
      <c r="BR51" s="39">
        <f>COUNTIF(BR5:BR30,"X")</f>
        <v/>
      </c>
      <c r="BS51" s="39">
        <f>COUNTIF(BS5:BS30,"X")</f>
        <v/>
      </c>
      <c r="BT51" s="39">
        <f>COUNTIF(BT5:BT30,"X")</f>
        <v/>
      </c>
      <c r="BU51" s="39">
        <f>COUNTIF(BU5:BU30,"X")</f>
        <v/>
      </c>
      <c r="BV51" s="39">
        <f>COUNTIF(BV5:BV30,"X")</f>
        <v/>
      </c>
      <c r="BW51" s="39">
        <f>COUNTIF(BW5:BW30,"X")</f>
        <v/>
      </c>
      <c r="BX51" s="39">
        <f>COUNTIF(BX5:BX30,"X")</f>
        <v/>
      </c>
      <c r="BY51" s="39">
        <f>COUNTIF(BY5:BY30,"X")</f>
        <v/>
      </c>
      <c r="BZ51" s="39">
        <f>COUNTIF(BZ5:BZ30,"X")</f>
        <v/>
      </c>
      <c r="CA51" s="39">
        <f>COUNTIF(CA5:CA30,"X")</f>
        <v/>
      </c>
      <c r="CB51" s="39">
        <f>COUNTIF(CB5:CB30,"X")</f>
        <v/>
      </c>
      <c r="CC51" s="39">
        <f>COUNTIF(CC5:CC30,"X")</f>
        <v/>
      </c>
      <c r="CD51" s="39">
        <f>COUNTIF(CD5:CD30,"X")</f>
        <v/>
      </c>
      <c r="CE51" s="39">
        <f>COUNTIF(CE5:CE30,"X")</f>
        <v/>
      </c>
      <c r="CF51" s="39">
        <f>COUNTIF(CF5:CF30,"X")</f>
        <v/>
      </c>
      <c r="CG51" s="39">
        <f>COUNTIF(CG5:CG30,"X")</f>
        <v/>
      </c>
      <c r="CH51" s="39">
        <f>COUNTIF(CH5:CH30,"X")</f>
        <v/>
      </c>
      <c r="CI51" s="39">
        <f>COUNTIF(CI5:CI30,"X")</f>
        <v/>
      </c>
      <c r="CJ51" s="39">
        <f>COUNTIF(CJ5:CJ30,"X")</f>
        <v/>
      </c>
      <c r="CK51" s="39">
        <f>COUNTIF(CK5:CK30,"X")</f>
        <v/>
      </c>
      <c r="CL51" s="39">
        <f>COUNTIF(CL5:CL30,"X")</f>
        <v/>
      </c>
      <c r="CM51" s="39">
        <f>COUNTIF(CM5:CM30,"X")</f>
        <v/>
      </c>
      <c r="CN51" s="39">
        <f>COUNTIF(CN5:CN30,"X")</f>
        <v/>
      </c>
      <c r="CO51" s="39">
        <f>COUNTIF(CO5:CO30,"X")</f>
        <v/>
      </c>
      <c r="CP51" s="39">
        <f>COUNTIF(CP5:CP30,"X")</f>
        <v/>
      </c>
      <c r="CQ51" s="39">
        <f>COUNTIF(CQ5:CQ30,"X")</f>
        <v/>
      </c>
      <c r="CR51" s="39">
        <f>COUNTIF(CR5:CR30,"X")</f>
        <v/>
      </c>
      <c r="CS51" s="39">
        <f>COUNTIF(CS5:CS30,"X")</f>
        <v/>
      </c>
      <c r="CT51" s="39">
        <f>COUNTIF(CT5:CT30,"X")</f>
        <v/>
      </c>
      <c r="CU51" s="39">
        <f>COUNTIF(CU5:CU30,"X")</f>
        <v/>
      </c>
      <c r="CV51" s="39">
        <f>COUNTIF(CV5:CV30,"X")</f>
        <v/>
      </c>
      <c r="CW51" s="39">
        <f>COUNTIF(CW5:CW30,"X")</f>
        <v/>
      </c>
      <c r="CX51" s="39">
        <f>COUNTIF(CX5:CX30,"X")</f>
        <v/>
      </c>
      <c r="CY51" s="39">
        <f>COUNTIF(CY5:CY30,"X")</f>
        <v/>
      </c>
      <c r="CZ51" s="39">
        <f>COUNTIF(CZ5:CZ30,"X")</f>
        <v/>
      </c>
      <c r="DA51" s="39">
        <f>COUNTIF(DA5:DA30,"X")</f>
        <v/>
      </c>
    </row>
    <row r="52">
      <c r="A52" s="38" t="inlineStr">
        <is>
          <t>? (לא ידוע)</t>
        </is>
      </c>
      <c r="D52" s="39">
        <f>COUNTIF(D5:D30,"~?")</f>
        <v/>
      </c>
      <c r="E52" s="39">
        <f>COUNTIF(E5:E30,"~?")</f>
        <v/>
      </c>
      <c r="F52" s="39">
        <f>COUNTIF(F5:F30,"~?")</f>
        <v/>
      </c>
      <c r="G52" s="39">
        <f>COUNTIF(G5:G30,"~?")</f>
        <v/>
      </c>
      <c r="H52" s="39">
        <f>COUNTIF(H5:H30,"~?")</f>
        <v/>
      </c>
      <c r="I52" s="39">
        <f>COUNTIF(I5:I30,"~?")</f>
        <v/>
      </c>
      <c r="J52" s="39">
        <f>COUNTIF(J5:J30,"~?")</f>
        <v/>
      </c>
      <c r="K52" s="39">
        <f>COUNTIF(K5:K30,"~?")</f>
        <v/>
      </c>
      <c r="L52" s="39">
        <f>COUNTIF(L5:L30,"~?")</f>
        <v/>
      </c>
      <c r="M52" s="39">
        <f>COUNTIF(M5:M30,"~?")</f>
        <v/>
      </c>
      <c r="N52" s="39">
        <f>COUNTIF(N5:N30,"~?")</f>
        <v/>
      </c>
      <c r="O52" s="39">
        <f>COUNTIF(O5:O30,"~?")</f>
        <v/>
      </c>
      <c r="P52" s="39">
        <f>COUNTIF(P5:P30,"~?")</f>
        <v/>
      </c>
      <c r="Q52" s="39">
        <f>COUNTIF(Q5:Q30,"~?")</f>
        <v/>
      </c>
      <c r="R52" s="39">
        <f>COUNTIF(R5:R30,"~?")</f>
        <v/>
      </c>
      <c r="S52" s="39">
        <f>COUNTIF(S5:S30,"~?")</f>
        <v/>
      </c>
      <c r="T52" s="39">
        <f>COUNTIF(T5:T30,"~?")</f>
        <v/>
      </c>
      <c r="U52" s="39">
        <f>COUNTIF(U5:U30,"~?")</f>
        <v/>
      </c>
      <c r="V52" s="39">
        <f>COUNTIF(V5:V30,"~?")</f>
        <v/>
      </c>
      <c r="W52" s="39">
        <f>COUNTIF(W5:W30,"~?")</f>
        <v/>
      </c>
      <c r="X52" s="39">
        <f>COUNTIF(X5:X30,"~?")</f>
        <v/>
      </c>
      <c r="Y52" s="39">
        <f>COUNTIF(Y5:Y30,"~?")</f>
        <v/>
      </c>
      <c r="Z52" s="39">
        <f>COUNTIF(Z5:Z30,"~?")</f>
        <v/>
      </c>
      <c r="AA52" s="39">
        <f>COUNTIF(AA5:AA30,"~?")</f>
        <v/>
      </c>
      <c r="AB52" s="39">
        <f>COUNTIF(AB5:AB30,"~?")</f>
        <v/>
      </c>
      <c r="AC52" s="39">
        <f>COUNTIF(AC5:AC30,"~?")</f>
        <v/>
      </c>
      <c r="AD52" s="39">
        <f>COUNTIF(AD5:AD30,"~?")</f>
        <v/>
      </c>
      <c r="AE52" s="39">
        <f>COUNTIF(AE5:AE30,"~?")</f>
        <v/>
      </c>
      <c r="AF52" s="39">
        <f>COUNTIF(AF5:AF30,"~?")</f>
        <v/>
      </c>
      <c r="AG52" s="39">
        <f>COUNTIF(AG5:AG30,"~?")</f>
        <v/>
      </c>
      <c r="AH52" s="39">
        <f>COUNTIF(AH5:AH30,"~?")</f>
        <v/>
      </c>
      <c r="AI52" s="39">
        <f>COUNTIF(AI5:AI30,"~?")</f>
        <v/>
      </c>
      <c r="AJ52" s="39">
        <f>COUNTIF(AJ5:AJ30,"~?")</f>
        <v/>
      </c>
      <c r="AK52" s="39">
        <f>COUNTIF(AK5:AK30,"~?")</f>
        <v/>
      </c>
      <c r="AL52" s="39">
        <f>COUNTIF(AL5:AL30,"~?")</f>
        <v/>
      </c>
      <c r="AM52" s="39">
        <f>COUNTIF(AM5:AM30,"~?")</f>
        <v/>
      </c>
      <c r="AN52" s="39">
        <f>COUNTIF(AN5:AN30,"~?")</f>
        <v/>
      </c>
      <c r="AO52" s="39">
        <f>COUNTIF(AO5:AO30,"~?")</f>
        <v/>
      </c>
      <c r="AP52" s="39">
        <f>COUNTIF(AP5:AP30,"~?")</f>
        <v/>
      </c>
      <c r="AQ52" s="39">
        <f>COUNTIF(AQ5:AQ30,"~?")</f>
        <v/>
      </c>
      <c r="AR52" s="39">
        <f>COUNTIF(AR5:AR30,"~?")</f>
        <v/>
      </c>
      <c r="AS52" s="39">
        <f>COUNTIF(AS5:AS30,"~?")</f>
        <v/>
      </c>
      <c r="AT52" s="39">
        <f>COUNTIF(AT5:AT30,"~?")</f>
        <v/>
      </c>
      <c r="AU52" s="39">
        <f>COUNTIF(AU5:AU30,"~?")</f>
        <v/>
      </c>
      <c r="AV52" s="39">
        <f>COUNTIF(AV5:AV30,"~?")</f>
        <v/>
      </c>
      <c r="AW52" s="39">
        <f>COUNTIF(AW5:AW30,"~?")</f>
        <v/>
      </c>
      <c r="AX52" s="39">
        <f>COUNTIF(AX5:AX30,"~?")</f>
        <v/>
      </c>
      <c r="AY52" s="39">
        <f>COUNTIF(AY5:AY30,"~?")</f>
        <v/>
      </c>
      <c r="AZ52" s="39">
        <f>COUNTIF(AZ5:AZ30,"~?")</f>
        <v/>
      </c>
      <c r="BA52" s="39">
        <f>COUNTIF(BA5:BA30,"~?")</f>
        <v/>
      </c>
      <c r="BB52" s="39">
        <f>COUNTIF(BB5:BB30,"~?")</f>
        <v/>
      </c>
      <c r="BC52" s="39">
        <f>COUNTIF(BC5:BC30,"~?")</f>
        <v/>
      </c>
      <c r="BD52" s="39">
        <f>COUNTIF(BD5:BD30,"~?")</f>
        <v/>
      </c>
      <c r="BE52" s="39">
        <f>COUNTIF(BE5:BE30,"~?")</f>
        <v/>
      </c>
      <c r="BF52" s="39">
        <f>COUNTIF(BF5:BF30,"~?")</f>
        <v/>
      </c>
      <c r="BG52" s="39">
        <f>COUNTIF(BG5:BG30,"~?")</f>
        <v/>
      </c>
      <c r="BH52" s="39">
        <f>COUNTIF(BH5:BH30,"~?")</f>
        <v/>
      </c>
      <c r="BI52" s="39">
        <f>COUNTIF(BI5:BI30,"~?")</f>
        <v/>
      </c>
      <c r="BJ52" s="39">
        <f>COUNTIF(BJ5:BJ30,"~?")</f>
        <v/>
      </c>
      <c r="BK52" s="39">
        <f>COUNTIF(BK5:BK30,"~?")</f>
        <v/>
      </c>
      <c r="BL52" s="39">
        <f>COUNTIF(BL5:BL30,"~?")</f>
        <v/>
      </c>
      <c r="BM52" s="39">
        <f>COUNTIF(BM5:BM30,"~?")</f>
        <v/>
      </c>
      <c r="BN52" s="39">
        <f>COUNTIF(BN5:BN30,"~?")</f>
        <v/>
      </c>
      <c r="BO52" s="39">
        <f>COUNTIF(BO5:BO30,"~?")</f>
        <v/>
      </c>
      <c r="BP52" s="39">
        <f>COUNTIF(BP5:BP30,"~?")</f>
        <v/>
      </c>
      <c r="BQ52" s="39">
        <f>COUNTIF(BQ5:BQ30,"~?")</f>
        <v/>
      </c>
      <c r="BR52" s="39">
        <f>COUNTIF(BR5:BR30,"~?")</f>
        <v/>
      </c>
      <c r="BS52" s="39">
        <f>COUNTIF(BS5:BS30,"~?")</f>
        <v/>
      </c>
      <c r="BT52" s="39">
        <f>COUNTIF(BT5:BT30,"~?")</f>
        <v/>
      </c>
      <c r="BU52" s="39">
        <f>COUNTIF(BU5:BU30,"~?")</f>
        <v/>
      </c>
      <c r="BV52" s="39">
        <f>COUNTIF(BV5:BV30,"~?")</f>
        <v/>
      </c>
      <c r="BW52" s="39">
        <f>COUNTIF(BW5:BW30,"~?")</f>
        <v/>
      </c>
      <c r="BX52" s="39">
        <f>COUNTIF(BX5:BX30,"~?")</f>
        <v/>
      </c>
      <c r="BY52" s="39">
        <f>COUNTIF(BY5:BY30,"~?")</f>
        <v/>
      </c>
      <c r="BZ52" s="39">
        <f>COUNTIF(BZ5:BZ30,"~?")</f>
        <v/>
      </c>
      <c r="CA52" s="39">
        <f>COUNTIF(CA5:CA30,"~?")</f>
        <v/>
      </c>
      <c r="CB52" s="39">
        <f>COUNTIF(CB5:CB30,"~?")</f>
        <v/>
      </c>
      <c r="CC52" s="39">
        <f>COUNTIF(CC5:CC30,"~?")</f>
        <v/>
      </c>
      <c r="CD52" s="39">
        <f>COUNTIF(CD5:CD30,"~?")</f>
        <v/>
      </c>
      <c r="CE52" s="39">
        <f>COUNTIF(CE5:CE30,"~?")</f>
        <v/>
      </c>
      <c r="CF52" s="39">
        <f>COUNTIF(CF5:CF30,"~?")</f>
        <v/>
      </c>
      <c r="CG52" s="39">
        <f>COUNTIF(CG5:CG30,"~?")</f>
        <v/>
      </c>
      <c r="CH52" s="39">
        <f>COUNTIF(CH5:CH30,"~?")</f>
        <v/>
      </c>
      <c r="CI52" s="39">
        <f>COUNTIF(CI5:CI30,"~?")</f>
        <v/>
      </c>
      <c r="CJ52" s="39">
        <f>COUNTIF(CJ5:CJ30,"~?")</f>
        <v/>
      </c>
      <c r="CK52" s="39">
        <f>COUNTIF(CK5:CK30,"~?")</f>
        <v/>
      </c>
      <c r="CL52" s="39">
        <f>COUNTIF(CL5:CL30,"~?")</f>
        <v/>
      </c>
      <c r="CM52" s="39">
        <f>COUNTIF(CM5:CM30,"~?")</f>
        <v/>
      </c>
      <c r="CN52" s="39">
        <f>COUNTIF(CN5:CN30,"~?")</f>
        <v/>
      </c>
      <c r="CO52" s="39">
        <f>COUNTIF(CO5:CO30,"~?")</f>
        <v/>
      </c>
      <c r="CP52" s="39">
        <f>COUNTIF(CP5:CP30,"~?")</f>
        <v/>
      </c>
      <c r="CQ52" s="39">
        <f>COUNTIF(CQ5:CQ30,"~?")</f>
        <v/>
      </c>
      <c r="CR52" s="39">
        <f>COUNTIF(CR5:CR30,"~?")</f>
        <v/>
      </c>
      <c r="CS52" s="39">
        <f>COUNTIF(CS5:CS30,"~?")</f>
        <v/>
      </c>
      <c r="CT52" s="39">
        <f>COUNTIF(CT5:CT30,"~?")</f>
        <v/>
      </c>
      <c r="CU52" s="39">
        <f>COUNTIF(CU5:CU30,"~?")</f>
        <v/>
      </c>
      <c r="CV52" s="39">
        <f>COUNTIF(CV5:CV30,"~?")</f>
        <v/>
      </c>
      <c r="CW52" s="39">
        <f>COUNTIF(CW5:CW30,"~?")</f>
        <v/>
      </c>
      <c r="CX52" s="39">
        <f>COUNTIF(CX5:CX30,"~?")</f>
        <v/>
      </c>
      <c r="CY52" s="39">
        <f>COUNTIF(CY5:CY30,"~?")</f>
        <v/>
      </c>
      <c r="CZ52" s="39">
        <f>COUNTIF(CZ5:CZ30,"~?")</f>
        <v/>
      </c>
      <c r="DA52" s="39">
        <f>COUNTIF(DA5:DA30,"~?")</f>
        <v/>
      </c>
    </row>
    <row r="53">
      <c r="A53" s="38" t="inlineStr">
        <is>
          <t>ללא סטטוס (ריק)</t>
        </is>
      </c>
      <c r="D53" s="39">
        <f>COUNTA($A$5:$A$30)-COUNTA(D5:D30)</f>
        <v/>
      </c>
      <c r="E53" s="39">
        <f>COUNTA($A$5:$A$30)-COUNTA(E5:E30)</f>
        <v/>
      </c>
      <c r="F53" s="39">
        <f>COUNTA($A$5:$A$30)-COUNTA(F5:F30)</f>
        <v/>
      </c>
      <c r="G53" s="39">
        <f>COUNTA($A$5:$A$30)-COUNTA(G5:G30)</f>
        <v/>
      </c>
      <c r="H53" s="39">
        <f>COUNTA($A$5:$A$30)-COUNTA(H5:H30)</f>
        <v/>
      </c>
      <c r="I53" s="39">
        <f>COUNTA($A$5:$A$30)-COUNTA(I5:I30)</f>
        <v/>
      </c>
      <c r="J53" s="39">
        <f>COUNTA($A$5:$A$30)-COUNTA(J5:J30)</f>
        <v/>
      </c>
      <c r="K53" s="39">
        <f>COUNTA($A$5:$A$30)-COUNTA(K5:K30)</f>
        <v/>
      </c>
      <c r="L53" s="39">
        <f>COUNTA($A$5:$A$30)-COUNTA(L5:L30)</f>
        <v/>
      </c>
      <c r="M53" s="39">
        <f>COUNTA($A$5:$A$30)-COUNTA(M5:M30)</f>
        <v/>
      </c>
      <c r="N53" s="39">
        <f>COUNTA($A$5:$A$30)-COUNTA(N5:N30)</f>
        <v/>
      </c>
      <c r="O53" s="39">
        <f>COUNTA($A$5:$A$30)-COUNTA(O5:O30)</f>
        <v/>
      </c>
      <c r="P53" s="39">
        <f>COUNTA($A$5:$A$30)-COUNTA(P5:P30)</f>
        <v/>
      </c>
      <c r="Q53" s="39">
        <f>COUNTA($A$5:$A$30)-COUNTA(Q5:Q30)</f>
        <v/>
      </c>
      <c r="R53" s="39">
        <f>COUNTA($A$5:$A$30)-COUNTA(R5:R30)</f>
        <v/>
      </c>
      <c r="S53" s="39">
        <f>COUNTA($A$5:$A$30)-COUNTA(S5:S30)</f>
        <v/>
      </c>
      <c r="T53" s="39">
        <f>COUNTA($A$5:$A$30)-COUNTA(T5:T30)</f>
        <v/>
      </c>
      <c r="U53" s="39">
        <f>COUNTA($A$5:$A$30)-COUNTA(U5:U30)</f>
        <v/>
      </c>
      <c r="V53" s="39">
        <f>COUNTA($A$5:$A$30)-COUNTA(V5:V30)</f>
        <v/>
      </c>
      <c r="W53" s="39">
        <f>COUNTA($A$5:$A$30)-COUNTA(W5:W30)</f>
        <v/>
      </c>
      <c r="X53" s="39">
        <f>COUNTA($A$5:$A$30)-COUNTA(X5:X30)</f>
        <v/>
      </c>
      <c r="Y53" s="39">
        <f>COUNTA($A$5:$A$30)-COUNTA(Y5:Y30)</f>
        <v/>
      </c>
      <c r="Z53" s="39">
        <f>COUNTA($A$5:$A$30)-COUNTA(Z5:Z30)</f>
        <v/>
      </c>
      <c r="AA53" s="39">
        <f>COUNTA($A$5:$A$30)-COUNTA(AA5:AA30)</f>
        <v/>
      </c>
      <c r="AB53" s="39">
        <f>COUNTA($A$5:$A$30)-COUNTA(AB5:AB30)</f>
        <v/>
      </c>
      <c r="AC53" s="39">
        <f>COUNTA($A$5:$A$30)-COUNTA(AC5:AC30)</f>
        <v/>
      </c>
      <c r="AD53" s="39">
        <f>COUNTA($A$5:$A$30)-COUNTA(AD5:AD30)</f>
        <v/>
      </c>
      <c r="AE53" s="39">
        <f>COUNTA($A$5:$A$30)-COUNTA(AE5:AE30)</f>
        <v/>
      </c>
      <c r="AF53" s="39">
        <f>COUNTA($A$5:$A$30)-COUNTA(AF5:AF30)</f>
        <v/>
      </c>
      <c r="AG53" s="39">
        <f>COUNTA($A$5:$A$30)-COUNTA(AG5:AG30)</f>
        <v/>
      </c>
      <c r="AH53" s="39">
        <f>COUNTA($A$5:$A$30)-COUNTA(AH5:AH30)</f>
        <v/>
      </c>
      <c r="AI53" s="39">
        <f>COUNTA($A$5:$A$30)-COUNTA(AI5:AI30)</f>
        <v/>
      </c>
      <c r="AJ53" s="39">
        <f>COUNTA($A$5:$A$30)-COUNTA(AJ5:AJ30)</f>
        <v/>
      </c>
      <c r="AK53" s="39">
        <f>COUNTA($A$5:$A$30)-COUNTA(AK5:AK30)</f>
        <v/>
      </c>
      <c r="AL53" s="39">
        <f>COUNTA($A$5:$A$30)-COUNTA(AL5:AL30)</f>
        <v/>
      </c>
      <c r="AM53" s="39">
        <f>COUNTA($A$5:$A$30)-COUNTA(AM5:AM30)</f>
        <v/>
      </c>
      <c r="AN53" s="39">
        <f>COUNTA($A$5:$A$30)-COUNTA(AN5:AN30)</f>
        <v/>
      </c>
      <c r="AO53" s="39">
        <f>COUNTA($A$5:$A$30)-COUNTA(AO5:AO30)</f>
        <v/>
      </c>
      <c r="AP53" s="39">
        <f>COUNTA($A$5:$A$30)-COUNTA(AP5:AP30)</f>
        <v/>
      </c>
      <c r="AQ53" s="39">
        <f>COUNTA($A$5:$A$30)-COUNTA(AQ5:AQ30)</f>
        <v/>
      </c>
      <c r="AR53" s="39">
        <f>COUNTA($A$5:$A$30)-COUNTA(AR5:AR30)</f>
        <v/>
      </c>
      <c r="AS53" s="39">
        <f>COUNTA($A$5:$A$30)-COUNTA(AS5:AS30)</f>
        <v/>
      </c>
      <c r="AT53" s="39">
        <f>COUNTA($A$5:$A$30)-COUNTA(AT5:AT30)</f>
        <v/>
      </c>
      <c r="AU53" s="39">
        <f>COUNTA($A$5:$A$30)-COUNTA(AU5:AU30)</f>
        <v/>
      </c>
      <c r="AV53" s="39">
        <f>COUNTA($A$5:$A$30)-COUNTA(AV5:AV30)</f>
        <v/>
      </c>
      <c r="AW53" s="39">
        <f>COUNTA($A$5:$A$30)-COUNTA(AW5:AW30)</f>
        <v/>
      </c>
      <c r="AX53" s="39">
        <f>COUNTA($A$5:$A$30)-COUNTA(AX5:AX30)</f>
        <v/>
      </c>
      <c r="AY53" s="39">
        <f>COUNTA($A$5:$A$30)-COUNTA(AY5:AY30)</f>
        <v/>
      </c>
      <c r="AZ53" s="39">
        <f>COUNTA($A$5:$A$30)-COUNTA(AZ5:AZ30)</f>
        <v/>
      </c>
      <c r="BA53" s="39">
        <f>COUNTA($A$5:$A$30)-COUNTA(BA5:BA30)</f>
        <v/>
      </c>
      <c r="BB53" s="39">
        <f>COUNTA($A$5:$A$30)-COUNTA(BB5:BB30)</f>
        <v/>
      </c>
      <c r="BC53" s="39">
        <f>COUNTA($A$5:$A$30)-COUNTA(BC5:BC30)</f>
        <v/>
      </c>
      <c r="BD53" s="39">
        <f>COUNTA($A$5:$A$30)-COUNTA(BD5:BD30)</f>
        <v/>
      </c>
      <c r="BE53" s="39">
        <f>COUNTA($A$5:$A$30)-COUNTA(BE5:BE30)</f>
        <v/>
      </c>
      <c r="BF53" s="39">
        <f>COUNTA($A$5:$A$30)-COUNTA(BF5:BF30)</f>
        <v/>
      </c>
      <c r="BG53" s="39">
        <f>COUNTA($A$5:$A$30)-COUNTA(BG5:BG30)</f>
        <v/>
      </c>
      <c r="BH53" s="39">
        <f>COUNTA($A$5:$A$30)-COUNTA(BH5:BH30)</f>
        <v/>
      </c>
      <c r="BI53" s="39">
        <f>COUNTA($A$5:$A$30)-COUNTA(BI5:BI30)</f>
        <v/>
      </c>
      <c r="BJ53" s="39">
        <f>COUNTA($A$5:$A$30)-COUNTA(BJ5:BJ30)</f>
        <v/>
      </c>
      <c r="BK53" s="39">
        <f>COUNTA($A$5:$A$30)-COUNTA(BK5:BK30)</f>
        <v/>
      </c>
      <c r="BL53" s="39">
        <f>COUNTA($A$5:$A$30)-COUNTA(BL5:BL30)</f>
        <v/>
      </c>
      <c r="BM53" s="39">
        <f>COUNTA($A$5:$A$30)-COUNTA(BM5:BM30)</f>
        <v/>
      </c>
      <c r="BN53" s="39">
        <f>COUNTA($A$5:$A$30)-COUNTA(BN5:BN30)</f>
        <v/>
      </c>
      <c r="BO53" s="39">
        <f>COUNTA($A$5:$A$30)-COUNTA(BO5:BO30)</f>
        <v/>
      </c>
      <c r="BP53" s="39">
        <f>COUNTA($A$5:$A$30)-COUNTA(BP5:BP30)</f>
        <v/>
      </c>
      <c r="BQ53" s="39">
        <f>COUNTA($A$5:$A$30)-COUNTA(BQ5:BQ30)</f>
        <v/>
      </c>
      <c r="BR53" s="39">
        <f>COUNTA($A$5:$A$30)-COUNTA(BR5:BR30)</f>
        <v/>
      </c>
      <c r="BS53" s="39">
        <f>COUNTA($A$5:$A$30)-COUNTA(BS5:BS30)</f>
        <v/>
      </c>
      <c r="BT53" s="39">
        <f>COUNTA($A$5:$A$30)-COUNTA(BT5:BT30)</f>
        <v/>
      </c>
      <c r="BU53" s="39">
        <f>COUNTA($A$5:$A$30)-COUNTA(BU5:BU30)</f>
        <v/>
      </c>
      <c r="BV53" s="39">
        <f>COUNTA($A$5:$A$30)-COUNTA(BV5:BV30)</f>
        <v/>
      </c>
      <c r="BW53" s="39">
        <f>COUNTA($A$5:$A$30)-COUNTA(BW5:BW30)</f>
        <v/>
      </c>
      <c r="BX53" s="39">
        <f>COUNTA($A$5:$A$30)-COUNTA(BX5:BX30)</f>
        <v/>
      </c>
      <c r="BY53" s="39">
        <f>COUNTA($A$5:$A$30)-COUNTA(BY5:BY30)</f>
        <v/>
      </c>
      <c r="BZ53" s="39">
        <f>COUNTA($A$5:$A$30)-COUNTA(BZ5:BZ30)</f>
        <v/>
      </c>
      <c r="CA53" s="39">
        <f>COUNTA($A$5:$A$30)-COUNTA(CA5:CA30)</f>
        <v/>
      </c>
      <c r="CB53" s="39">
        <f>COUNTA($A$5:$A$30)-COUNTA(CB5:CB30)</f>
        <v/>
      </c>
      <c r="CC53" s="39">
        <f>COUNTA($A$5:$A$30)-COUNTA(CC5:CC30)</f>
        <v/>
      </c>
      <c r="CD53" s="39">
        <f>COUNTA($A$5:$A$30)-COUNTA(CD5:CD30)</f>
        <v/>
      </c>
      <c r="CE53" s="39">
        <f>COUNTA($A$5:$A$30)-COUNTA(CE5:CE30)</f>
        <v/>
      </c>
      <c r="CF53" s="39">
        <f>COUNTA($A$5:$A$30)-COUNTA(CF5:CF30)</f>
        <v/>
      </c>
      <c r="CG53" s="39">
        <f>COUNTA($A$5:$A$30)-COUNTA(CG5:CG30)</f>
        <v/>
      </c>
      <c r="CH53" s="39">
        <f>COUNTA($A$5:$A$30)-COUNTA(CH5:CH30)</f>
        <v/>
      </c>
      <c r="CI53" s="39">
        <f>COUNTA($A$5:$A$30)-COUNTA(CI5:CI30)</f>
        <v/>
      </c>
      <c r="CJ53" s="39">
        <f>COUNTA($A$5:$A$30)-COUNTA(CJ5:CJ30)</f>
        <v/>
      </c>
      <c r="CK53" s="39">
        <f>COUNTA($A$5:$A$30)-COUNTA(CK5:CK30)</f>
        <v/>
      </c>
      <c r="CL53" s="39">
        <f>COUNTA($A$5:$A$30)-COUNTA(CL5:CL30)</f>
        <v/>
      </c>
      <c r="CM53" s="39">
        <f>COUNTA($A$5:$A$30)-COUNTA(CM5:CM30)</f>
        <v/>
      </c>
      <c r="CN53" s="39">
        <f>COUNTA($A$5:$A$30)-COUNTA(CN5:CN30)</f>
        <v/>
      </c>
      <c r="CO53" s="39">
        <f>COUNTA($A$5:$A$30)-COUNTA(CO5:CO30)</f>
        <v/>
      </c>
      <c r="CP53" s="39">
        <f>COUNTA($A$5:$A$30)-COUNTA(CP5:CP30)</f>
        <v/>
      </c>
      <c r="CQ53" s="39">
        <f>COUNTA($A$5:$A$30)-COUNTA(CQ5:CQ30)</f>
        <v/>
      </c>
      <c r="CR53" s="39">
        <f>COUNTA($A$5:$A$30)-COUNTA(CR5:CR30)</f>
        <v/>
      </c>
      <c r="CS53" s="39">
        <f>COUNTA($A$5:$A$30)-COUNTA(CS5:CS30)</f>
        <v/>
      </c>
      <c r="CT53" s="39">
        <f>COUNTA($A$5:$A$30)-COUNTA(CT5:CT30)</f>
        <v/>
      </c>
      <c r="CU53" s="39">
        <f>COUNTA($A$5:$A$30)-COUNTA(CU5:CU30)</f>
        <v/>
      </c>
      <c r="CV53" s="39">
        <f>COUNTA($A$5:$A$30)-COUNTA(CV5:CV30)</f>
        <v/>
      </c>
      <c r="CW53" s="39">
        <f>COUNTA($A$5:$A$30)-COUNTA(CW5:CW30)</f>
        <v/>
      </c>
      <c r="CX53" s="39">
        <f>COUNTA($A$5:$A$30)-COUNTA(CX5:CX30)</f>
        <v/>
      </c>
      <c r="CY53" s="39">
        <f>COUNTA($A$5:$A$30)-COUNTA(CY5:CY30)</f>
        <v/>
      </c>
      <c r="CZ53" s="39">
        <f>COUNTA($A$5:$A$30)-COUNTA(CZ5:CZ30)</f>
        <v/>
      </c>
      <c r="DA53" s="39">
        <f>COUNTA($A$5:$A$30)-COUNTA(DA5:DA30)</f>
        <v/>
      </c>
    </row>
  </sheetData>
  <mergeCells count="22">
    <mergeCell ref="A46:C46"/>
    <mergeCell ref="AS2:BW2"/>
    <mergeCell ref="A1:DE1"/>
    <mergeCell ref="A50:C50"/>
    <mergeCell ref="A33:C33"/>
    <mergeCell ref="A47:C47"/>
    <mergeCell ref="A32:C32"/>
    <mergeCell ref="A53:C53"/>
    <mergeCell ref="A35:C35"/>
    <mergeCell ref="A4:C4"/>
    <mergeCell ref="A43:C43"/>
    <mergeCell ref="BX2:DA2"/>
    <mergeCell ref="A52:C52"/>
    <mergeCell ref="A44:C44"/>
    <mergeCell ref="A31:C31"/>
    <mergeCell ref="A34:C34"/>
    <mergeCell ref="A48:C48"/>
    <mergeCell ref="D2:M2"/>
    <mergeCell ref="A51:C51"/>
    <mergeCell ref="A49:C49"/>
    <mergeCell ref="A45:C45"/>
    <mergeCell ref="N2:AR2"/>
  </mergeCells>
  <conditionalFormatting sqref="D5:DA30">
    <cfRule type="cellIs" priority="4" operator="equal" dxfId="8">
      <formula>"בסיס"</formula>
    </cfRule>
    <cfRule type="cellIs" priority="5" operator="equal" dxfId="7">
      <formula>"בית"</formula>
    </cfRule>
    <cfRule type="cellIs" priority="6" operator="equal" dxfId="6">
      <formula>"חופשה"</formula>
    </cfRule>
    <cfRule type="cellIs" priority="7" operator="equal" dxfId="5">
      <formula>"גימלים"</formula>
    </cfRule>
    <cfRule type="cellIs" priority="8" operator="equal" dxfId="4">
      <formula>"קורס"</formula>
    </cfRule>
    <cfRule type="cellIs" priority="9" operator="equal" dxfId="3">
      <formula>"ת״ש"</formula>
    </cfRule>
  </conditionalFormatting>
  <conditionalFormatting sqref="D31:DA31">
    <cfRule type="cellIs" priority="1" operator="lessThan" dxfId="0">
      <formula>$B$39</formula>
    </cfRule>
  </conditionalFormatting>
  <conditionalFormatting sqref="D32:DA32">
    <cfRule type="cellIs" priority="2" operator="lessThan" dxfId="0">
      <formula>$B$40</formula>
    </cfRule>
  </conditionalFormatting>
  <conditionalFormatting sqref="D33:DA33">
    <cfRule type="cellIs" priority="3" operator="lessThan" dxfId="0">
      <formula>$B$41</formula>
    </cfRule>
  </conditionalFormatting>
  <conditionalFormatting sqref="DD5:DD30">
    <cfRule type="colorScale" priority="10">
      <colorScale>
        <cfvo type="min"/>
        <cfvo type="percentile" val="50"/>
        <cfvo type="max"/>
        <color rgb="FFC6EFCE"/>
        <color rgb="FFFFEB9C"/>
        <color rgb="FFFFC7CE"/>
      </colorScale>
    </cfRule>
  </conditionalFormatting>
  <dataValidations count="1">
    <dataValidation sqref="D5:DA30" showDropDown="0" showInputMessage="0" showErrorMessage="0" allowBlank="1" type="list">
      <formula1>"בסיס,בית,חופשה,גימלים,קורס,ת״ש"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selection activeCell="A1" sqref="A1"/>
    </sheetView>
  </sheetViews>
  <sheetFormatPr baseColWidth="8" defaultRowHeight="13.8"/>
  <cols>
    <col width="6" customWidth="1" style="30" min="1" max="1"/>
    <col width="34" customWidth="1" style="30" min="2" max="2"/>
  </cols>
  <sheetData>
    <row r="1" ht="16.8" customHeight="1" s="30">
      <c r="B1" s="13" t="inlineStr">
        <is>
          <t>מקרא - שבצק יציאות</t>
        </is>
      </c>
    </row>
    <row r="3">
      <c r="B3" s="11" t="inlineStr">
        <is>
          <t>כותרת תאריך:</t>
        </is>
      </c>
    </row>
    <row r="4">
      <c r="A4" s="14" t="n"/>
      <c r="B4" s="15" t="inlineStr">
        <is>
          <t>שבת / ערב שבת</t>
        </is>
      </c>
    </row>
    <row r="5">
      <c r="A5" s="16" t="n"/>
      <c r="B5" s="15" t="inlineStr">
        <is>
          <t>חג</t>
        </is>
      </c>
    </row>
    <row r="6">
      <c r="B6" s="11" t="inlineStr">
        <is>
          <t>סטטוס תא:</t>
        </is>
      </c>
    </row>
    <row r="7">
      <c r="A7" s="17" t="n"/>
      <c r="B7" s="15" t="inlineStr">
        <is>
          <t>בסיס</t>
        </is>
      </c>
    </row>
    <row r="8">
      <c r="A8" s="18" t="n"/>
      <c r="B8" s="15" t="inlineStr">
        <is>
          <t>בית</t>
        </is>
      </c>
    </row>
    <row r="9">
      <c r="A9" s="19" t="n"/>
      <c r="B9" s="15" t="inlineStr">
        <is>
          <t>חופשה</t>
        </is>
      </c>
    </row>
    <row r="10">
      <c r="A10" s="20" t="n"/>
      <c r="B10" s="15" t="inlineStr">
        <is>
          <t>גימלים</t>
        </is>
      </c>
    </row>
    <row r="11">
      <c r="A11" s="21" t="n"/>
      <c r="B11" s="15" t="inlineStr">
        <is>
          <t>קורס</t>
        </is>
      </c>
    </row>
    <row r="12">
      <c r="A12" s="22" t="n"/>
      <c r="B12" s="15" t="inlineStr">
        <is>
          <t>ת״ש</t>
        </is>
      </c>
    </row>
    <row r="13">
      <c r="B13" s="11" t="inlineStr">
        <is>
          <t>התראות:</t>
        </is>
      </c>
    </row>
    <row r="14">
      <c r="A14" s="23" t="n"/>
      <c r="B14" s="15" t="inlineStr">
        <is>
          <t>מתחת לסף מצבה (אדום אוטומטי)</t>
        </is>
      </c>
    </row>
    <row r="16">
      <c r="B16" s="15" t="inlineStr">
        <is>
          <t>ספי המצבה נקבעים בגיליון השבצק בבלוק "הגדרות מצבה".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rightToLeft="1" workbookViewId="0">
      <pane ySplit="2" topLeftCell="A3" activePane="bottomLeft" state="frozen"/>
      <selection pane="bottomLeft" activeCell="I23" sqref="I23"/>
    </sheetView>
  </sheetViews>
  <sheetFormatPr baseColWidth="8" defaultRowHeight="13.8"/>
  <cols>
    <col width="15.8984375" customWidth="1" style="30" min="1" max="1"/>
    <col width="14" customWidth="1" style="30" min="2" max="2"/>
    <col width="10" customWidth="1" style="30" min="3" max="3"/>
    <col width="14" customWidth="1" style="30" min="4" max="4"/>
    <col width="26" customWidth="1" style="30" min="5" max="5"/>
    <col width="32" customWidth="1" style="30" min="6" max="6"/>
  </cols>
  <sheetData>
    <row r="1" ht="14.25" customHeight="1" s="30">
      <c r="A1" s="32" t="inlineStr">
        <is>
          <t>שיחות אישיות עם חיילים</t>
        </is>
      </c>
    </row>
    <row r="2">
      <c r="A2" s="29" t="inlineStr">
        <is>
          <t>שם</t>
        </is>
      </c>
      <c r="B2" s="29" t="inlineStr">
        <is>
          <t>תפקיד</t>
        </is>
      </c>
      <c r="C2" s="29" t="inlineStr">
        <is>
          <t>שוחחת?</t>
        </is>
      </c>
      <c r="D2" s="29" t="inlineStr">
        <is>
          <t>תאריך שיחה</t>
        </is>
      </c>
      <c r="E2" s="29" t="inlineStr">
        <is>
          <t>נושא</t>
        </is>
      </c>
      <c r="F2" s="29" t="inlineStr">
        <is>
          <t>הערות</t>
        </is>
      </c>
    </row>
    <row r="3">
      <c r="A3" s="5" t="inlineStr">
        <is>
          <t>איתי עוזיאל</t>
        </is>
      </c>
      <c r="B3" s="6" t="inlineStr">
        <is>
          <t>קלג</t>
        </is>
      </c>
      <c r="C3" s="9" t="inlineStr">
        <is>
          <t>כן</t>
        </is>
      </c>
      <c r="D3" s="9" t="n"/>
      <c r="E3" s="9" t="n"/>
      <c r="F3" s="9" t="n"/>
    </row>
    <row r="4">
      <c r="A4" s="5" t="inlineStr">
        <is>
          <t>אורי עוזיאל</t>
        </is>
      </c>
      <c r="B4" s="6" t="inlineStr">
        <is>
          <t>ס. קלג</t>
        </is>
      </c>
      <c r="C4" s="9" t="inlineStr">
        <is>
          <t>כן</t>
        </is>
      </c>
      <c r="D4" s="9" t="inlineStr">
        <is>
          <t>25.5.26</t>
        </is>
      </c>
      <c r="E4" s="9" t="n"/>
      <c r="F4" s="9" t="n"/>
    </row>
    <row r="5">
      <c r="A5" s="5" t="inlineStr">
        <is>
          <t>ינון איזון</t>
        </is>
      </c>
      <c r="B5" s="6" t="inlineStr">
        <is>
          <t>לוגיסטיקה</t>
        </is>
      </c>
      <c r="C5" s="9" t="inlineStr">
        <is>
          <t>כן</t>
        </is>
      </c>
      <c r="D5" s="9" t="inlineStr">
        <is>
          <t>27.5.26</t>
        </is>
      </c>
      <c r="E5" s="9" t="n"/>
      <c r="F5" s="9" t="inlineStr">
        <is>
          <t xml:space="preserve">אוקטובר תחילת לימודים </t>
        </is>
      </c>
    </row>
    <row r="6">
      <c r="A6" s="5" t="inlineStr">
        <is>
          <t>שי ארנלדס</t>
        </is>
      </c>
      <c r="B6" s="6" t="inlineStr">
        <is>
          <t>מחתים</t>
        </is>
      </c>
      <c r="C6" s="9" t="n"/>
      <c r="D6" s="9" t="n"/>
      <c r="E6" s="9" t="n"/>
      <c r="F6" s="9" t="n"/>
    </row>
    <row r="7">
      <c r="A7" s="5" t="inlineStr">
        <is>
          <t>איתי שמש</t>
        </is>
      </c>
      <c r="B7" s="6" t="inlineStr">
        <is>
          <t>מחתים</t>
        </is>
      </c>
      <c r="C7" s="9" t="inlineStr">
        <is>
          <t>כן</t>
        </is>
      </c>
      <c r="D7" s="9" t="inlineStr">
        <is>
          <t>25.5.26</t>
        </is>
      </c>
      <c r="E7" s="9" t="n"/>
      <c r="F7" s="9" t="inlineStr">
        <is>
          <t>חתונה בשבוע חלוץ</t>
        </is>
      </c>
    </row>
    <row r="8">
      <c r="A8" s="5" t="inlineStr">
        <is>
          <t>אביעד כהן</t>
        </is>
      </c>
      <c r="B8" s="6" t="inlineStr">
        <is>
          <t>מחתים</t>
        </is>
      </c>
      <c r="C8" s="9" t="n"/>
      <c r="D8" s="9" t="n"/>
      <c r="E8" s="9" t="n"/>
      <c r="F8" s="9" t="n"/>
    </row>
    <row r="9">
      <c r="A9" s="5" t="inlineStr">
        <is>
          <t>אזוגי נתנאל</t>
        </is>
      </c>
      <c r="B9" s="6" t="inlineStr">
        <is>
          <t>לוגיסטיקה</t>
        </is>
      </c>
      <c r="C9" s="9" t="inlineStr">
        <is>
          <t>כן</t>
        </is>
      </c>
      <c r="D9" s="9" t="inlineStr">
        <is>
          <t>25.5.26</t>
        </is>
      </c>
      <c r="E9" s="9" t="n"/>
      <c r="F9" s="9" t="inlineStr">
        <is>
          <t xml:space="preserve">סטונדט -מבקש להתחשב בתקופת החגים </t>
        </is>
      </c>
    </row>
    <row r="10">
      <c r="A10" s="5" t="inlineStr">
        <is>
          <t>ניב סורוקר</t>
        </is>
      </c>
      <c r="B10" s="6" t="inlineStr">
        <is>
          <t>לוגיסטיקה</t>
        </is>
      </c>
      <c r="C10" s="9" t="n"/>
      <c r="D10" s="9" t="n"/>
      <c r="E10" s="9" t="n"/>
      <c r="F10" s="9" t="n"/>
    </row>
    <row r="11">
      <c r="A11" s="5" t="inlineStr">
        <is>
          <t>צבי לונדין</t>
        </is>
      </c>
      <c r="B11" s="6" t="inlineStr">
        <is>
          <t>לוגיסטיקה</t>
        </is>
      </c>
      <c r="C11" s="9" t="inlineStr">
        <is>
          <t>כן</t>
        </is>
      </c>
      <c r="D11" s="9" t="inlineStr">
        <is>
          <t>27.5.26</t>
        </is>
      </c>
      <c r="E11" s="9" t="n"/>
      <c r="F11" s="9" t="n"/>
    </row>
    <row r="12">
      <c r="A12" s="5" t="inlineStr">
        <is>
          <t>יוסף חגואל</t>
        </is>
      </c>
      <c r="B12" s="6" t="inlineStr">
        <is>
          <t>לוגיסטיקה</t>
        </is>
      </c>
      <c r="C12" s="9" t="inlineStr">
        <is>
          <t>כן</t>
        </is>
      </c>
      <c r="D12" s="9" t="inlineStr">
        <is>
          <t>27.5.26</t>
        </is>
      </c>
      <c r="E12" s="9" t="n"/>
      <c r="F12" s="9" t="n"/>
    </row>
    <row r="13">
      <c r="A13" s="5" t="inlineStr">
        <is>
          <t>אדם ממן</t>
        </is>
      </c>
      <c r="B13" s="6" t="inlineStr">
        <is>
          <t>לוגיסטיקה</t>
        </is>
      </c>
      <c r="C13" s="9" t="n"/>
      <c r="D13" s="9" t="n"/>
      <c r="E13" s="9" t="n"/>
      <c r="F13" s="9" t="n"/>
    </row>
    <row r="14">
      <c r="A14" s="5" t="inlineStr">
        <is>
          <t>גבריאל יעקוביאן</t>
        </is>
      </c>
      <c r="B14" s="6" t="inlineStr">
        <is>
          <t>לוגיסטיקה</t>
        </is>
      </c>
      <c r="C14" s="9" t="n"/>
      <c r="D14" s="9" t="n"/>
      <c r="E14" s="9" t="n"/>
      <c r="F14" s="9" t="n"/>
    </row>
    <row r="15">
      <c r="A15" s="5" t="inlineStr">
        <is>
          <t>יקיר אלימלך</t>
        </is>
      </c>
      <c r="B15" s="6" t="inlineStr">
        <is>
          <t>לוגיסטיקה</t>
        </is>
      </c>
      <c r="C15" s="9" t="inlineStr">
        <is>
          <t>כן</t>
        </is>
      </c>
      <c r="D15" s="9" t="inlineStr">
        <is>
          <t>27.5.26</t>
        </is>
      </c>
      <c r="E15" s="9" t="n"/>
      <c r="F15" s="9" t="n"/>
    </row>
    <row r="16">
      <c r="A16" s="5" t="inlineStr">
        <is>
          <t>יוסי כהן</t>
        </is>
      </c>
      <c r="B16" s="6" t="inlineStr">
        <is>
          <t>רחפנים-מחתים</t>
        </is>
      </c>
      <c r="C16" s="9" t="inlineStr">
        <is>
          <t>כן</t>
        </is>
      </c>
      <c r="D16" s="9" t="inlineStr">
        <is>
          <t>27.5.26</t>
        </is>
      </c>
      <c r="E16" s="9" t="n"/>
      <c r="F16" s="9" t="inlineStr">
        <is>
          <t xml:space="preserve">סטודנט מבקש להתחשב בתקופת מבחנים </t>
        </is>
      </c>
    </row>
    <row r="17">
      <c r="A17" s="5" t="inlineStr">
        <is>
          <t>רון בן שושן</t>
        </is>
      </c>
      <c r="B17" s="6" t="inlineStr">
        <is>
          <t>מחתים</t>
        </is>
      </c>
      <c r="C17" s="9" t="n"/>
      <c r="D17" s="9" t="n"/>
      <c r="E17" s="9" t="n"/>
      <c r="F17" s="9" t="n"/>
    </row>
    <row r="18">
      <c r="A18" s="5" t="inlineStr">
        <is>
          <t>דוד שמחי</t>
        </is>
      </c>
      <c r="B18" s="6" t="inlineStr">
        <is>
          <t>לוגיסטיקה</t>
        </is>
      </c>
      <c r="C18" s="9" t="inlineStr">
        <is>
          <t>כן</t>
        </is>
      </c>
      <c r="D18" s="9" t="inlineStr">
        <is>
          <t>25.5.26</t>
        </is>
      </c>
      <c r="E18" s="9" t="n"/>
      <c r="F18" s="9" t="n"/>
    </row>
    <row r="19">
      <c r="A19" s="5" t="inlineStr">
        <is>
          <t>לב גינזבורג</t>
        </is>
      </c>
      <c r="B19" s="6" t="inlineStr">
        <is>
          <t>לוגיסטיקה-בילו</t>
        </is>
      </c>
      <c r="C19" s="9" t="n"/>
      <c r="D19" s="9" t="n"/>
      <c r="E19" s="9" t="n"/>
      <c r="F19" s="9" t="n"/>
    </row>
    <row r="20">
      <c r="A20" s="5" t="inlineStr">
        <is>
          <t>יעקב גרמאי</t>
        </is>
      </c>
      <c r="B20" s="6" t="inlineStr">
        <is>
          <t>לוגיסטיקה</t>
        </is>
      </c>
      <c r="C20" s="9" t="inlineStr">
        <is>
          <t>כן</t>
        </is>
      </c>
      <c r="D20" s="9" t="inlineStr">
        <is>
          <t>28.5.26</t>
        </is>
      </c>
      <c r="E20" s="9" t="n"/>
      <c r="F20" s="9" t="inlineStr">
        <is>
          <t xml:space="preserve">בעל עסק לעבודות ניקיון </t>
        </is>
      </c>
    </row>
    <row r="21">
      <c r="A21" s="5" t="inlineStr">
        <is>
          <t>עידן אשטון</t>
        </is>
      </c>
      <c r="B21" s="6" t="inlineStr">
        <is>
          <t>לוגיסטיקה</t>
        </is>
      </c>
      <c r="C21" s="9" t="n"/>
      <c r="D21" s="9" t="n"/>
      <c r="E21" s="9" t="n"/>
      <c r="F21" s="9" t="n"/>
    </row>
    <row r="22">
      <c r="A22" s="5" t="inlineStr">
        <is>
          <t>דוד עבאדה</t>
        </is>
      </c>
      <c r="B22" s="6" t="inlineStr">
        <is>
          <t>לוגיסטיקה</t>
        </is>
      </c>
      <c r="C22" s="9" t="n"/>
      <c r="D22" s="9" t="n"/>
      <c r="E22" s="9" t="n"/>
      <c r="F22" s="9" t="n"/>
    </row>
    <row r="23" ht="27.6" customHeight="1" s="30">
      <c r="A23" s="5" t="inlineStr">
        <is>
          <t>אוראל קקון</t>
        </is>
      </c>
      <c r="B23" s="6" t="inlineStr">
        <is>
          <t>לוגיסטיקה</t>
        </is>
      </c>
      <c r="C23" s="9" t="inlineStr">
        <is>
          <t>כן</t>
        </is>
      </c>
      <c r="D23" s="9" t="inlineStr">
        <is>
          <t>28.5.26</t>
        </is>
      </c>
      <c r="E23" s="9" t="n"/>
      <c r="F23" s="25" t="inlineStr">
        <is>
          <t xml:space="preserve">לא יגיע לכל הקו, תכננן טיסה לתאילנד עם הבת זוג , טיסה לאיטליה במהלך הקו </t>
        </is>
      </c>
    </row>
    <row r="24" ht="27.6" customHeight="1" s="30">
      <c r="A24" s="5" t="inlineStr">
        <is>
          <t>אלחנן טירי</t>
        </is>
      </c>
      <c r="B24" s="6" t="inlineStr">
        <is>
          <t>לוגיסטיקה</t>
        </is>
      </c>
      <c r="C24" s="9" t="inlineStr">
        <is>
          <t>כן</t>
        </is>
      </c>
      <c r="D24" s="9" t="inlineStr">
        <is>
          <t>27.5.26</t>
        </is>
      </c>
      <c r="E24" s="9" t="n"/>
      <c r="F24" s="9" t="inlineStr">
        <is>
          <t xml:space="preserve">נולדה בת ראשונה לפני שבוע ,מתחיל סטאז ב1.9 </t>
        </is>
      </c>
    </row>
    <row r="25">
      <c r="A25" s="5" t="inlineStr">
        <is>
          <t>ארמיאס בלאציאו</t>
        </is>
      </c>
      <c r="B25" s="6" t="inlineStr">
        <is>
          <t>לוגיסטיקה</t>
        </is>
      </c>
      <c r="C25" s="9" t="n"/>
      <c r="D25" s="9" t="n"/>
      <c r="E25" s="9" t="n"/>
      <c r="F25" s="9" t="n"/>
    </row>
    <row r="26">
      <c r="A26" s="5" t="inlineStr">
        <is>
          <t>משה אברהם</t>
        </is>
      </c>
      <c r="B26" s="6" t="inlineStr">
        <is>
          <t>לוגיסטיקה</t>
        </is>
      </c>
      <c r="C26" s="9" t="n"/>
      <c r="D26" s="9" t="n"/>
      <c r="E26" s="9" t="n"/>
      <c r="F26" s="9" t="n"/>
    </row>
    <row r="27">
      <c r="A27" s="5" t="inlineStr">
        <is>
          <t>רון אוסטפוב</t>
        </is>
      </c>
      <c r="B27" s="6" t="inlineStr">
        <is>
          <t>לוגיסטיקה</t>
        </is>
      </c>
      <c r="C27" s="9" t="inlineStr">
        <is>
          <t>כן</t>
        </is>
      </c>
      <c r="D27" s="9" t="inlineStr">
        <is>
          <t>27.5.26</t>
        </is>
      </c>
      <c r="E27" s="9" t="n"/>
      <c r="F27" s="9" t="inlineStr">
        <is>
          <t xml:space="preserve">סטודנט מבקש להתחשב בתקופת מבחנים </t>
        </is>
      </c>
    </row>
    <row r="29">
      <c r="A29" s="11" t="inlineStr">
        <is>
          <t>סה"כ שוחחו:</t>
        </is>
      </c>
      <c r="B29" s="24">
        <f>COUNTIF(C3:C27,"כן")</f>
        <v/>
      </c>
    </row>
    <row r="30">
      <c r="A30" s="11" t="inlineStr">
        <is>
          <t>נותרו לשיחה:</t>
        </is>
      </c>
      <c r="B30" s="24">
        <f>COUNTIF(C3:C27,"לא")</f>
        <v/>
      </c>
    </row>
    <row r="31">
      <c r="A31" s="11" t="inlineStr">
        <is>
          <t>נותרו לשיחה:</t>
        </is>
      </c>
      <c r="B31" s="24">
        <f>COUNTIF(C3:C28,"לא")</f>
        <v/>
      </c>
    </row>
  </sheetData>
  <mergeCells count="1">
    <mergeCell ref="A1:F1"/>
  </mergeCells>
  <conditionalFormatting sqref="C3:C27">
    <cfRule type="cellIs" priority="1" operator="equal" dxfId="10">
      <formula>"כן"</formula>
    </cfRule>
    <cfRule type="cellIs" priority="2" operator="equal" dxfId="9">
      <formula>"לא"</formula>
    </cfRule>
  </conditionalFormatting>
  <dataValidations count="1">
    <dataValidation sqref="C3:C27" showDropDown="0" showInputMessage="0" showErrorMessage="0" allowBlank="1" type="list">
      <formula1>"כן,לא"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2026-05-29T07:13:20Z</dcterms:created>
  <dcterms:modified xsi:type="dcterms:W3CDTF">2026-06-13T20:18:16Z</dcterms:modified>
  <cp:lastModifiedBy>איתי עוזיאל</cp:lastModifiedBy>
</cp:coreProperties>
</file>